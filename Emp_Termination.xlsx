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549486f236f328b/Desktop/TOPMentor Notes/Assignment/"/>
    </mc:Choice>
  </mc:AlternateContent>
  <xr:revisionPtr revIDLastSave="0" documentId="8_{9F5E6E1B-95D0-43CF-B8EB-75E62BE06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R47" i="1"/>
  <c r="R44" i="1"/>
  <c r="R4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R35" i="1"/>
  <c r="R34" i="1"/>
  <c r="R33" i="1"/>
  <c r="P118" i="1" a="1"/>
  <c r="P118" i="1" s="1"/>
  <c r="R28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7" i="1"/>
  <c r="R3" i="1"/>
  <c r="R120" i="1"/>
  <c r="C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<sst xmlns="http://schemas.openxmlformats.org/spreadsheetml/2006/main" count="10519" uniqueCount="170">
  <si>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</si>
  <si>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</si>
  <si>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</si>
  <si>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</si>
  <si>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</si>
  <si>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</si>
  <si>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</si>
  <si>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</si>
  <si>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</si>
  <si>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</si>
  <si>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</si>
  <si>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</si>
  <si>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</si>
  <si>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</si>
  <si>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</si>
  <si>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</si>
  <si>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</si>
  <si>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</si>
  <si>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</si>
  <si>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</si>
  <si>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</si>
  <si>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</si>
  <si>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</si>
  <si>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</si>
  <si>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</si>
  <si>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</si>
  <si>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</si>
  <si>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</si>
  <si>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</si>
  <si>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</si>
  <si>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</si>
  <si>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</si>
  <si>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</si>
  <si>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</si>
  <si>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</si>
  <si>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</si>
  <si>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</si>
  <si>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</si>
  <si>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</si>
  <si>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</si>
  <si>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</si>
  <si>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</si>
  <si>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</si>
  <si>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</si>
  <si>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</si>
  <si>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</si>
  <si>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</si>
  <si>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</si>
  <si>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</si>
  <si>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</si>
  <si>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</si>
  <si>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</si>
  <si>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</si>
  <si>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</si>
  <si>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</si>
  <si>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</si>
  <si>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</si>
  <si>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</si>
  <si>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</si>
  <si>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</si>
  <si>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</si>
  <si>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</si>
  <si>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</si>
  <si>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</si>
  <si>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</si>
  <si>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</si>
  <si>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</si>
  <si>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</si>
  <si>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</si>
  <si>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</si>
  <si>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</si>
  <si>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</si>
  <si>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</si>
  <si>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</si>
  <si>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</si>
  <si>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</si>
  <si>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</si>
  <si>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</si>
  <si>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</si>
  <si>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</si>
  <si>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</si>
  <si>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</si>
  <si>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</si>
  <si>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</si>
  <si>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</si>
  <si>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</si>
  <si>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</si>
  <si>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</si>
  <si>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</si>
  <si>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</si>
  <si>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</si>
  <si>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</si>
  <si>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</si>
  <si>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</si>
  <si>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</si>
  <si>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</si>
  <si>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</si>
  <si>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</si>
  <si>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</si>
  <si>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</si>
  <si>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</si>
  <si>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</si>
  <si>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</si>
  <si>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</si>
  <si>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</si>
  <si>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</si>
  <si>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</si>
  <si>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</si>
  <si>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</si>
  <si>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</si>
  <si>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</si>
  <si>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</si>
  <si>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</si>
  <si>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</si>
  <si>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</si>
  <si>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</si>
  <si>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</si>
  <si>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</si>
  <si>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</si>
  <si>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</si>
  <si>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</si>
  <si>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</si>
  <si>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</si>
  <si>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</si>
  <si>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</si>
  <si>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</si>
  <si>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</si>
  <si>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</si>
  <si>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</si>
  <si>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</si>
  <si>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</si>
  <si>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</si>
  <si>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</si>
  <si>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</si>
  <si>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</si>
  <si>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</si>
  <si>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</si>
  <si>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</si>
  <si>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</si>
  <si>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</si>
  <si>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</si>
  <si>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</si>
  <si>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</si>
  <si>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</si>
  <si>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</si>
  <si>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</si>
  <si>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</si>
  <si>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</si>
  <si>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</si>
  <si>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</si>
  <si>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</si>
  <si>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</si>
  <si>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</si>
  <si>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</si>
  <si>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</si>
  <si>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</si>
  <si>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</si>
  <si>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</si>
  <si>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</si>
  <si>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</si>
  <si>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</si>
  <si>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</si>
  <si>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</si>
  <si>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</si>
  <si>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</si>
  <si>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</si>
  <si>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</si>
  <si>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</si>
  <si>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>Resgination</t>
  </si>
  <si>
    <t>All Solutions are on Data sheet.Kindly check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</si>
</sst>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86"/>
  <sheetViews>
    <sheetView tabSelected="1" topLeftCell="A127" workbookViewId="0">
      <selection activeCell="E4" sqref="E4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7" max="17" width="24.44140625" customWidth="1"/>
    <col min="18" max="18" width="12" bestFit="1" customWidth="1"/>
  </cols>
  <sheetData>
    <row r="1" spans="1:18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8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 cm="1">
        <f t="array" ref="E2:E1486">IF(D2:D1486&lt;=5,"Newcomer",IF(D2:D1486&gt;=6,"Proficient",IF(D2:D1486&gt;=10,"Expert")))</f>
        <v>Proficient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  <c r="P2" s="23" t="s">
        <v>120</v>
      </c>
    </row>
    <row r="3" spans="1:18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v>Proficient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1">IF(OR(L3="Retirement",L3="Resignation"),"Voluntary","Involuntary")</f>
        <v>Voluntary</v>
      </c>
      <c r="N3" s="4" t="s">
        <v>26</v>
      </c>
      <c r="P3" s="23"/>
      <c r="Q3" t="s">
        <v>122</v>
      </c>
      <c r="R3" s="12">
        <f>COUNTA(L2:L1486)</f>
        <v>1485</v>
      </c>
    </row>
    <row r="4" spans="1:18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v>Proficient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1"/>
        <v>Voluntary</v>
      </c>
      <c r="N4" s="4" t="s">
        <v>26</v>
      </c>
      <c r="P4" s="23"/>
      <c r="R4" s="8"/>
    </row>
    <row r="5" spans="1:18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v>Proficient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1"/>
        <v>Voluntary</v>
      </c>
      <c r="N5" s="4" t="s">
        <v>20</v>
      </c>
      <c r="P5" s="23" t="s">
        <v>121</v>
      </c>
      <c r="R5" s="8"/>
    </row>
    <row r="6" spans="1:18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v>Proficient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1"/>
        <v>Voluntary</v>
      </c>
      <c r="N6" s="4" t="s">
        <v>26</v>
      </c>
      <c r="P6" s="23"/>
      <c r="Q6" t="s">
        <v>123</v>
      </c>
      <c r="R6" s="11">
        <v>7.0000000000000007E-2</v>
      </c>
    </row>
    <row r="7" spans="1:18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v>Proficient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1"/>
        <v>Voluntary</v>
      </c>
      <c r="N7" s="4" t="s">
        <v>20</v>
      </c>
      <c r="P7" s="23"/>
      <c r="Q7" t="s">
        <v>124</v>
      </c>
      <c r="R7" s="24">
        <f>R3+(R3*7%)</f>
        <v>1588.95</v>
      </c>
    </row>
    <row r="8" spans="1:18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v>Proficient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1"/>
        <v>Voluntary</v>
      </c>
      <c r="N8" s="4" t="s">
        <v>20</v>
      </c>
      <c r="P8" s="23"/>
    </row>
    <row r="9" spans="1:18" ht="15" thickBot="1" x14ac:dyDescent="0.3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v>Proficient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1"/>
        <v>Voluntary</v>
      </c>
      <c r="N9" s="4" t="s">
        <v>26</v>
      </c>
      <c r="P9" s="23" t="s">
        <v>125</v>
      </c>
    </row>
    <row r="10" spans="1:18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v>Proficient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1"/>
        <v>Voluntary</v>
      </c>
      <c r="N10" s="4" t="s">
        <v>20</v>
      </c>
      <c r="P10" s="23"/>
      <c r="Q10" s="15" t="s">
        <v>126</v>
      </c>
      <c r="R10" s="16" t="s">
        <v>127</v>
      </c>
    </row>
    <row r="11" spans="1:18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v>Proficient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1"/>
        <v>Voluntary</v>
      </c>
      <c r="N11" s="4" t="s">
        <v>20</v>
      </c>
      <c r="P11" s="23"/>
      <c r="Q11" s="18">
        <v>0.04</v>
      </c>
      <c r="R11" s="13">
        <f>R3+(R3*Q11)</f>
        <v>1544.4</v>
      </c>
    </row>
    <row r="12" spans="1:18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v>Proficient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1"/>
        <v>Voluntary</v>
      </c>
      <c r="N12" s="4" t="s">
        <v>26</v>
      </c>
      <c r="P12" s="23"/>
      <c r="Q12" s="18">
        <v>4.4999999999999998E-2</v>
      </c>
      <c r="R12" s="13">
        <f>R3+(R3*4.5%)</f>
        <v>1551.825</v>
      </c>
    </row>
    <row r="13" spans="1:18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1"/>
        <v>Voluntary</v>
      </c>
      <c r="N13" s="4" t="s">
        <v>20</v>
      </c>
      <c r="P13" s="23"/>
      <c r="Q13" s="18">
        <v>0.05</v>
      </c>
      <c r="R13" s="13">
        <f>R3+(R3*5%)</f>
        <v>1559.25</v>
      </c>
    </row>
    <row r="14" spans="1:18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v>Proficient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1"/>
        <v>Voluntary</v>
      </c>
      <c r="N14" s="4" t="s">
        <v>20</v>
      </c>
      <c r="P14" s="23"/>
      <c r="Q14" s="18">
        <v>5.5E-2</v>
      </c>
      <c r="R14" s="13">
        <f>R3+(R3*5.5%)</f>
        <v>1566.675</v>
      </c>
    </row>
    <row r="15" spans="1:18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v>Proficient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1"/>
        <v>Voluntary</v>
      </c>
      <c r="N15" s="4" t="s">
        <v>26</v>
      </c>
      <c r="P15" s="23"/>
      <c r="Q15" s="18">
        <v>0.06</v>
      </c>
      <c r="R15" s="13">
        <f>R3+(R3*6%)</f>
        <v>1574.1</v>
      </c>
    </row>
    <row r="16" spans="1:18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v>Proficient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1"/>
        <v>Voluntary</v>
      </c>
      <c r="N16" s="4" t="s">
        <v>26</v>
      </c>
      <c r="P16" s="23"/>
      <c r="Q16" s="18">
        <v>6.5000000000000002E-2</v>
      </c>
      <c r="R16" s="13">
        <f>R3+(R3*6.5%)</f>
        <v>1581.5250000000001</v>
      </c>
    </row>
    <row r="17" spans="1:18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v>Proficient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1"/>
        <v>Voluntary</v>
      </c>
      <c r="N17" s="4" t="s">
        <v>20</v>
      </c>
      <c r="P17" s="23"/>
      <c r="Q17" s="18">
        <v>7.0000000000000007E-2</v>
      </c>
      <c r="R17" s="13">
        <f>R3+(R3*7%)</f>
        <v>1588.95</v>
      </c>
    </row>
    <row r="18" spans="1:18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v>Proficient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1"/>
        <v>Voluntary</v>
      </c>
      <c r="N18" s="4" t="s">
        <v>26</v>
      </c>
      <c r="P18" s="23"/>
      <c r="Q18" s="18">
        <v>7.4999999999999997E-2</v>
      </c>
      <c r="R18" s="13">
        <f>R3+(R3*7.5%)</f>
        <v>1596.375</v>
      </c>
    </row>
    <row r="19" spans="1:18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1"/>
        <v>Voluntary</v>
      </c>
      <c r="N19" s="4" t="s">
        <v>26</v>
      </c>
      <c r="P19" s="23"/>
      <c r="Q19" s="18">
        <v>0.08</v>
      </c>
      <c r="R19" s="13">
        <f>R3+(R3*8%)</f>
        <v>1603.8</v>
      </c>
    </row>
    <row r="20" spans="1:18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v>Proficient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1"/>
        <v>Voluntary</v>
      </c>
      <c r="N20" s="4" t="s">
        <v>26</v>
      </c>
      <c r="P20" s="23"/>
      <c r="Q20" s="18">
        <v>8.5000000000000006E-2</v>
      </c>
      <c r="R20" s="13">
        <f>R3+(R3*8.5%)</f>
        <v>1611.2249999999999</v>
      </c>
    </row>
    <row r="21" spans="1:18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v>Proficient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1"/>
        <v>Voluntary</v>
      </c>
      <c r="N21" s="4" t="s">
        <v>20</v>
      </c>
      <c r="P21" s="23"/>
      <c r="Q21" s="18">
        <v>0.09</v>
      </c>
      <c r="R21" s="13">
        <f>R3+(R3*9%)</f>
        <v>1618.65</v>
      </c>
    </row>
    <row r="22" spans="1:18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v>Proficient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1"/>
        <v>Voluntary</v>
      </c>
      <c r="N22" s="4" t="s">
        <v>26</v>
      </c>
      <c r="P22" s="23"/>
      <c r="Q22" s="18">
        <v>9.5000000000000001E-2</v>
      </c>
      <c r="R22" s="13">
        <f>R3+(R3*9.5%)</f>
        <v>1626.075</v>
      </c>
    </row>
    <row r="23" spans="1:18" ht="15" thickBot="1" x14ac:dyDescent="0.3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v>Proficient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1"/>
        <v>Voluntary</v>
      </c>
      <c r="N23" s="4" t="s">
        <v>20</v>
      </c>
      <c r="P23" s="23"/>
      <c r="Q23" s="17">
        <v>0.1</v>
      </c>
      <c r="R23" s="14">
        <f>R3+R3*10%</f>
        <v>1633.5</v>
      </c>
    </row>
    <row r="24" spans="1:18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v>Proficient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1"/>
        <v>Voluntary</v>
      </c>
      <c r="N24" s="4" t="s">
        <v>20</v>
      </c>
      <c r="P24" s="23"/>
    </row>
    <row r="25" spans="1:18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v>Proficient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1"/>
        <v>Voluntary</v>
      </c>
      <c r="N25" s="4" t="s">
        <v>20</v>
      </c>
      <c r="P25" s="23" t="s">
        <v>128</v>
      </c>
    </row>
    <row r="26" spans="1:18" ht="15" thickBot="1" x14ac:dyDescent="0.3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v>Proficient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1"/>
        <v>Voluntary</v>
      </c>
      <c r="N26" s="4" t="s">
        <v>26</v>
      </c>
      <c r="P26" s="23"/>
      <c r="Q26" t="s">
        <v>129</v>
      </c>
    </row>
    <row r="27" spans="1:18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v>Proficient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1"/>
        <v>Voluntary</v>
      </c>
      <c r="N27" s="4" t="s">
        <v>20</v>
      </c>
      <c r="P27" s="23"/>
      <c r="Q27" s="15" t="s">
        <v>126</v>
      </c>
      <c r="R27" s="16" t="s">
        <v>127</v>
      </c>
    </row>
    <row r="28" spans="1:18" ht="15" thickBot="1" x14ac:dyDescent="0.3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v>Proficient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1"/>
        <v>Voluntary</v>
      </c>
      <c r="N28" s="4" t="s">
        <v>26</v>
      </c>
      <c r="P28" s="23"/>
      <c r="Q28" s="17"/>
      <c r="R28" s="14">
        <f>R3+(R3*4.5%)</f>
        <v>1551.825</v>
      </c>
    </row>
    <row r="29" spans="1:18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v>Proficient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1"/>
        <v>Voluntary</v>
      </c>
      <c r="N29" s="4" t="s">
        <v>20</v>
      </c>
      <c r="P29" s="23"/>
    </row>
    <row r="30" spans="1:18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v>Proficient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1"/>
        <v>Voluntary</v>
      </c>
      <c r="N30" s="4" t="s">
        <v>20</v>
      </c>
      <c r="P30" s="23" t="s">
        <v>130</v>
      </c>
    </row>
    <row r="31" spans="1:18" ht="15" thickBot="1" x14ac:dyDescent="0.3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v>Proficient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1"/>
        <v>Voluntary</v>
      </c>
      <c r="N31" s="4" t="s">
        <v>20</v>
      </c>
      <c r="P31" s="23"/>
      <c r="Q31" s="10" t="s">
        <v>122</v>
      </c>
    </row>
    <row r="32" spans="1:18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v>Proficient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1"/>
        <v>Voluntary</v>
      </c>
      <c r="N32" s="4" t="s">
        <v>26</v>
      </c>
      <c r="P32" s="23"/>
      <c r="Q32" s="15" t="s">
        <v>131</v>
      </c>
      <c r="R32" s="16" t="s">
        <v>132</v>
      </c>
    </row>
    <row r="33" spans="1:18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v>Proficient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1"/>
        <v>Voluntary</v>
      </c>
      <c r="N33" s="4" t="s">
        <v>20</v>
      </c>
      <c r="P33" s="23"/>
      <c r="Q33" s="19" t="s">
        <v>19</v>
      </c>
      <c r="R33" s="13">
        <f>COUNTIF(L2:L1486,"Retirement")</f>
        <v>392</v>
      </c>
    </row>
    <row r="34" spans="1:18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v>Proficient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1"/>
        <v>Voluntary</v>
      </c>
      <c r="N34" s="4" t="s">
        <v>26</v>
      </c>
      <c r="P34" s="23"/>
      <c r="Q34" s="19" t="s">
        <v>96</v>
      </c>
      <c r="R34" s="13">
        <f>COUNTIF(L2:L1486,"Layoff")</f>
        <v>708</v>
      </c>
    </row>
    <row r="35" spans="1:18" ht="15" thickBot="1" x14ac:dyDescent="0.3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v>Proficient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1"/>
        <v>Voluntary</v>
      </c>
      <c r="N35" s="4" t="s">
        <v>26</v>
      </c>
      <c r="P35" s="23"/>
      <c r="Q35" s="20" t="s">
        <v>168</v>
      </c>
      <c r="R35" s="13">
        <f>COUNTIF(L2:L1486,"Resignation")</f>
        <v>385</v>
      </c>
    </row>
    <row r="36" spans="1:18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v>Proficient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1"/>
        <v>Voluntary</v>
      </c>
      <c r="N36" s="4" t="s">
        <v>26</v>
      </c>
      <c r="P36" s="23"/>
    </row>
    <row r="37" spans="1:18" ht="15" thickBot="1" x14ac:dyDescent="0.3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v>Proficient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1"/>
        <v>Voluntary</v>
      </c>
      <c r="N37" s="4" t="s">
        <v>20</v>
      </c>
      <c r="P37" s="23"/>
      <c r="Q37" s="21" t="s">
        <v>133</v>
      </c>
    </row>
    <row r="38" spans="1:18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1"/>
        <v>Voluntary</v>
      </c>
      <c r="N38" s="4" t="s">
        <v>26</v>
      </c>
      <c r="P38" s="23"/>
      <c r="Q38" s="15" t="s">
        <v>131</v>
      </c>
      <c r="R38" s="16" t="s">
        <v>132</v>
      </c>
    </row>
    <row r="39" spans="1:18" ht="15" thickBot="1" x14ac:dyDescent="0.3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v>Proficient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1"/>
        <v>Voluntary</v>
      </c>
      <c r="N39" s="4" t="s">
        <v>20</v>
      </c>
      <c r="P39" s="23"/>
      <c r="Q39" s="20" t="s">
        <v>96</v>
      </c>
      <c r="R39" s="14">
        <v>708</v>
      </c>
    </row>
    <row r="40" spans="1:18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v>Proficient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1"/>
        <v>Voluntary</v>
      </c>
      <c r="N40" s="4" t="s">
        <v>26</v>
      </c>
      <c r="P40" s="23"/>
    </row>
    <row r="41" spans="1:18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1"/>
        <v>Voluntary</v>
      </c>
      <c r="N41" s="4" t="s">
        <v>20</v>
      </c>
      <c r="P41" s="23" t="s">
        <v>134</v>
      </c>
      <c r="Q41" t="s">
        <v>135</v>
      </c>
    </row>
    <row r="42" spans="1:18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1"/>
        <v>Voluntary</v>
      </c>
      <c r="N42" s="4" t="s">
        <v>26</v>
      </c>
      <c r="P42" s="23"/>
    </row>
    <row r="43" spans="1:18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v>Proficient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1"/>
        <v>Voluntary</v>
      </c>
      <c r="N43" s="4" t="s">
        <v>26</v>
      </c>
      <c r="P43" s="23"/>
      <c r="Q43" t="s">
        <v>136</v>
      </c>
    </row>
    <row r="44" spans="1:18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v>Proficient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1"/>
        <v>Voluntary</v>
      </c>
      <c r="N44" s="4" t="s">
        <v>26</v>
      </c>
      <c r="P44" s="23"/>
      <c r="Q44" t="s">
        <v>137</v>
      </c>
      <c r="R44" s="22">
        <f>COUNTA(M2:M1486)</f>
        <v>1485</v>
      </c>
    </row>
    <row r="45" spans="1:18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v>Proficient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1"/>
        <v>Voluntary</v>
      </c>
      <c r="N45" s="4" t="s">
        <v>20</v>
      </c>
      <c r="P45" s="23"/>
      <c r="Q45" t="s">
        <v>138</v>
      </c>
      <c r="R45" s="8">
        <f>COUNTIF(M2:M1486,"Voluntary")</f>
        <v>777</v>
      </c>
    </row>
    <row r="46" spans="1:18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v>Proficient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1"/>
        <v>Voluntary</v>
      </c>
      <c r="N46" s="4" t="s">
        <v>26</v>
      </c>
      <c r="P46" s="23"/>
      <c r="Q46" s="10" t="s">
        <v>139</v>
      </c>
      <c r="R46" s="25"/>
    </row>
    <row r="47" spans="1:18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v>Proficient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1"/>
        <v>Voluntary</v>
      </c>
      <c r="N47" s="4" t="s">
        <v>20</v>
      </c>
      <c r="P47" s="23"/>
      <c r="R47">
        <f>COUNTIF(M2:M1486,"Voluntary") / COUNTA(M2:M1486)*100</f>
        <v>52.323232323232325</v>
      </c>
    </row>
    <row r="48" spans="1:18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v>Proficient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1"/>
        <v>Voluntary</v>
      </c>
      <c r="N48" s="4" t="s">
        <v>26</v>
      </c>
      <c r="P48" s="23" t="s">
        <v>140</v>
      </c>
    </row>
    <row r="49" spans="1:16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v>Proficient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1"/>
        <v>Voluntary</v>
      </c>
      <c r="N49" s="4" t="s">
        <v>20</v>
      </c>
      <c r="P49" s="23"/>
    </row>
    <row r="50" spans="1:16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v>Proficient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1"/>
        <v>Voluntary</v>
      </c>
      <c r="N50" s="4" t="s">
        <v>20</v>
      </c>
      <c r="P50" s="23"/>
    </row>
    <row r="51" spans="1:16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v>Proficient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1"/>
        <v>Voluntary</v>
      </c>
      <c r="N51" s="4" t="s">
        <v>20</v>
      </c>
      <c r="P51" s="23"/>
    </row>
    <row r="52" spans="1:16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1"/>
        <v>Voluntary</v>
      </c>
      <c r="N52" s="4" t="s">
        <v>26</v>
      </c>
      <c r="P52" s="23"/>
    </row>
    <row r="53" spans="1:16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v>Proficient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1"/>
        <v>Voluntary</v>
      </c>
      <c r="N53" s="4" t="s">
        <v>20</v>
      </c>
      <c r="P53" s="23"/>
    </row>
    <row r="54" spans="1:16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v>Proficient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1"/>
        <v>Voluntary</v>
      </c>
      <c r="N54" s="4" t="s">
        <v>26</v>
      </c>
      <c r="P54" s="23"/>
    </row>
    <row r="55" spans="1:16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v>Proficient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1"/>
        <v>Voluntary</v>
      </c>
      <c r="N55" s="4" t="s">
        <v>20</v>
      </c>
      <c r="P55" s="23"/>
    </row>
    <row r="56" spans="1:16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v>Proficient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1"/>
        <v>Voluntary</v>
      </c>
      <c r="N56" s="4" t="s">
        <v>20</v>
      </c>
      <c r="P56" s="23"/>
    </row>
    <row r="57" spans="1:16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v>Proficient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1"/>
        <v>Voluntary</v>
      </c>
      <c r="N57" s="4" t="s">
        <v>20</v>
      </c>
    </row>
    <row r="58" spans="1:16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1"/>
        <v>Voluntary</v>
      </c>
      <c r="N58" s="4" t="s">
        <v>26</v>
      </c>
    </row>
    <row r="59" spans="1:16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v>Proficient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1"/>
        <v>Voluntary</v>
      </c>
      <c r="N59" s="4" t="s">
        <v>26</v>
      </c>
    </row>
    <row r="60" spans="1:16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1"/>
        <v>Voluntary</v>
      </c>
      <c r="N60" s="4" t="s">
        <v>26</v>
      </c>
    </row>
    <row r="61" spans="1:16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1"/>
        <v>Voluntary</v>
      </c>
      <c r="N61" s="4" t="s">
        <v>26</v>
      </c>
    </row>
    <row r="62" spans="1:16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v>Proficient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1"/>
        <v>Voluntary</v>
      </c>
      <c r="N62" s="4" t="s">
        <v>26</v>
      </c>
    </row>
    <row r="63" spans="1:16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1"/>
        <v>Voluntary</v>
      </c>
      <c r="N63" s="4" t="s">
        <v>26</v>
      </c>
    </row>
    <row r="64" spans="1:16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v>Proficient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1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1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v>Proficient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1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2">YEAR(C67)-YEAR(B67)</f>
        <v>11</v>
      </c>
      <c r="E67" s="6" t="str">
        <v>Proficient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3">IF(OR(L67="Retirement",L67="Resignation"),"Voluntary","Involuntary")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2"/>
        <v>22</v>
      </c>
      <c r="E68" s="6" t="str">
        <v>Proficient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3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2"/>
        <v>20</v>
      </c>
      <c r="E69" s="6" t="str">
        <v>Proficient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3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2"/>
        <v>19</v>
      </c>
      <c r="E70" s="6" t="str">
        <v>Proficient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3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2"/>
        <v>11</v>
      </c>
      <c r="E71" s="6" t="str">
        <v>Proficient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3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2"/>
        <v>25</v>
      </c>
      <c r="E72" s="6" t="str">
        <v>Proficient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3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2"/>
        <v>5</v>
      </c>
      <c r="E73" s="6" t="str"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3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2"/>
        <v>29</v>
      </c>
      <c r="E74" s="6" t="str">
        <v>Proficient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3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2"/>
        <v>28</v>
      </c>
      <c r="E75" s="6" t="str">
        <v>Proficient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3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2"/>
        <v>15</v>
      </c>
      <c r="E76" s="6" t="str">
        <v>Proficient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3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2"/>
        <v>21</v>
      </c>
      <c r="E77" s="6" t="str">
        <v>Proficient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3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2"/>
        <v>14</v>
      </c>
      <c r="E78" s="6" t="str">
        <v>Proficient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3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2"/>
        <v>17</v>
      </c>
      <c r="E79" s="6" t="str">
        <v>Proficient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3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2"/>
        <v>15</v>
      </c>
      <c r="E80" s="6" t="str">
        <v>Proficient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3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2"/>
        <v>22</v>
      </c>
      <c r="E81" s="6" t="str">
        <v>Proficient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3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2"/>
        <v>12</v>
      </c>
      <c r="E82" s="6" t="str">
        <v>Proficient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3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2"/>
        <v>10</v>
      </c>
      <c r="E83" s="6" t="str"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3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2"/>
        <v>20</v>
      </c>
      <c r="E84" s="6" t="str">
        <v>Proficient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3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2"/>
        <v>16</v>
      </c>
      <c r="E85" s="6" t="str">
        <v>Proficient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3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2"/>
        <v>20</v>
      </c>
      <c r="E86" s="6" t="str">
        <v>Proficient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3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2"/>
        <v>14</v>
      </c>
      <c r="E87" s="6" t="str">
        <v>Proficient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3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2"/>
        <v>30</v>
      </c>
      <c r="E88" s="6" t="str">
        <v>Proficient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3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2"/>
        <v>11</v>
      </c>
      <c r="E89" s="6" t="str">
        <v>Proficient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3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2"/>
        <v>27</v>
      </c>
      <c r="E90" s="6" t="str">
        <v>Proficient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3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2"/>
        <v>28</v>
      </c>
      <c r="E91" s="6" t="str">
        <v>Proficient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3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2"/>
        <v>22</v>
      </c>
      <c r="E92" s="6" t="str">
        <v>Proficient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3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2"/>
        <v>21</v>
      </c>
      <c r="E93" s="6" t="str">
        <v>Proficient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3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2"/>
        <v>30</v>
      </c>
      <c r="E94" s="6" t="str">
        <v>Proficient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3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2"/>
        <v>9</v>
      </c>
      <c r="E95" s="6" t="str"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3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2"/>
        <v>10</v>
      </c>
      <c r="E96" s="6" t="str"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3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2"/>
        <v>7</v>
      </c>
      <c r="E97" s="6" t="str"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3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2"/>
        <v>22</v>
      </c>
      <c r="E98" s="6" t="str">
        <v>Proficient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3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2"/>
        <v>16</v>
      </c>
      <c r="E99" s="6" t="str">
        <v>Proficient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3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2"/>
        <v>16</v>
      </c>
      <c r="E100" s="6" t="str">
        <v>Proficient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3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2"/>
        <v>21</v>
      </c>
      <c r="E101" s="6" t="str">
        <v>Proficient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3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2"/>
        <v>12</v>
      </c>
      <c r="E102" s="6" t="str">
        <v>Proficient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3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2"/>
        <v>29</v>
      </c>
      <c r="E103" s="6" t="str">
        <v>Proficient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3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2"/>
        <v>21</v>
      </c>
      <c r="E104" s="6" t="str">
        <v>Proficient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3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2"/>
        <v>20</v>
      </c>
      <c r="E105" s="6" t="str">
        <v>Proficient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3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2"/>
        <v>28</v>
      </c>
      <c r="E106" s="6" t="str">
        <v>Proficient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3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2"/>
        <v>12</v>
      </c>
      <c r="E107" s="6" t="str">
        <v>Proficient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3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2"/>
        <v>14</v>
      </c>
      <c r="E108" s="6" t="str">
        <v>Proficient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3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2"/>
        <v>12</v>
      </c>
      <c r="E109" s="6" t="str">
        <v>Proficient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3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2"/>
        <v>22</v>
      </c>
      <c r="E110" s="6" t="str">
        <v>Proficient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3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2"/>
        <v>19</v>
      </c>
      <c r="E111" s="6" t="str">
        <v>Proficient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3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2"/>
        <v>25</v>
      </c>
      <c r="E112" s="6" t="str">
        <v>Proficient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3"/>
        <v>Voluntary</v>
      </c>
      <c r="N112" s="4" t="s">
        <v>26</v>
      </c>
    </row>
    <row r="113" spans="1:18" x14ac:dyDescent="0.3">
      <c r="A113" s="4">
        <v>1500</v>
      </c>
      <c r="B113" s="5">
        <v>38096</v>
      </c>
      <c r="C113" s="5">
        <v>43965</v>
      </c>
      <c r="D113" s="4">
        <f t="shared" si="2"/>
        <v>16</v>
      </c>
      <c r="E113" s="6" t="str">
        <v>Proficient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3"/>
        <v>Voluntary</v>
      </c>
      <c r="N113" s="4" t="s">
        <v>20</v>
      </c>
    </row>
    <row r="114" spans="1:18" x14ac:dyDescent="0.3">
      <c r="A114" s="4">
        <v>1502</v>
      </c>
      <c r="B114" s="5">
        <v>35616</v>
      </c>
      <c r="C114" s="5">
        <v>43961</v>
      </c>
      <c r="D114" s="4">
        <f t="shared" si="2"/>
        <v>23</v>
      </c>
      <c r="E114" s="6" t="str">
        <v>Proficient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3"/>
        <v>Voluntary</v>
      </c>
      <c r="N114" s="4" t="s">
        <v>26</v>
      </c>
    </row>
    <row r="115" spans="1:18" x14ac:dyDescent="0.3">
      <c r="A115" s="4">
        <v>1512</v>
      </c>
      <c r="B115" s="5">
        <v>35271</v>
      </c>
      <c r="C115" s="5">
        <v>43857</v>
      </c>
      <c r="D115" s="4">
        <f t="shared" si="2"/>
        <v>24</v>
      </c>
      <c r="E115" s="6" t="str">
        <v>Proficient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3"/>
        <v>Voluntary</v>
      </c>
      <c r="N115" s="4" t="s">
        <v>26</v>
      </c>
    </row>
    <row r="116" spans="1:18" x14ac:dyDescent="0.3">
      <c r="A116" s="4">
        <v>1513</v>
      </c>
      <c r="B116" s="5">
        <v>39185</v>
      </c>
      <c r="C116" s="5">
        <v>44048</v>
      </c>
      <c r="D116" s="4">
        <f t="shared" si="2"/>
        <v>13</v>
      </c>
      <c r="E116" s="6" t="str">
        <v>Proficient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3"/>
        <v>Voluntary</v>
      </c>
      <c r="N116" s="4" t="s">
        <v>26</v>
      </c>
    </row>
    <row r="117" spans="1:18" x14ac:dyDescent="0.3">
      <c r="A117" s="4">
        <v>1516</v>
      </c>
      <c r="B117" s="5">
        <v>40413</v>
      </c>
      <c r="C117" s="5">
        <v>43925</v>
      </c>
      <c r="D117" s="4">
        <f t="shared" si="2"/>
        <v>10</v>
      </c>
      <c r="E117" s="6" t="str"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3"/>
        <v>Voluntary</v>
      </c>
      <c r="N117" s="4" t="s">
        <v>20</v>
      </c>
    </row>
    <row r="118" spans="1:18" x14ac:dyDescent="0.3">
      <c r="A118" s="4">
        <v>1517</v>
      </c>
      <c r="B118" s="5">
        <v>38942</v>
      </c>
      <c r="C118" s="5">
        <v>43938</v>
      </c>
      <c r="D118" s="4">
        <f t="shared" si="2"/>
        <v>14</v>
      </c>
      <c r="E118" s="6" t="str">
        <v>Proficient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3"/>
        <v>Voluntary</v>
      </c>
      <c r="N118" s="4" t="s">
        <v>20</v>
      </c>
      <c r="P118" t="e" cm="1">
        <f t="array" ref="P118">+T147Q35P118P118:T165</f>
        <v>#NAME?</v>
      </c>
    </row>
    <row r="119" spans="1:18" x14ac:dyDescent="0.3">
      <c r="A119" s="4">
        <v>1522</v>
      </c>
      <c r="B119" s="5">
        <v>36014</v>
      </c>
      <c r="C119" s="5">
        <v>43863</v>
      </c>
      <c r="D119" s="4">
        <f t="shared" si="2"/>
        <v>22</v>
      </c>
      <c r="E119" s="6" t="str">
        <v>Proficient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3"/>
        <v>Voluntary</v>
      </c>
      <c r="N119" s="4" t="s">
        <v>26</v>
      </c>
      <c r="P119" s="23" t="s">
        <v>120</v>
      </c>
    </row>
    <row r="120" spans="1:18" x14ac:dyDescent="0.3">
      <c r="A120" s="4">
        <v>1523</v>
      </c>
      <c r="B120" s="5">
        <v>34564</v>
      </c>
      <c r="C120" s="5">
        <v>43978</v>
      </c>
      <c r="D120" s="4">
        <f t="shared" si="2"/>
        <v>26</v>
      </c>
      <c r="E120" s="6" t="str">
        <v>Proficient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3"/>
        <v>Voluntary</v>
      </c>
      <c r="N120" s="4" t="s">
        <v>20</v>
      </c>
      <c r="P120" s="23"/>
      <c r="Q120" t="s">
        <v>122</v>
      </c>
      <c r="R120" s="12">
        <f>SUM(AA118,AA1602)</f>
        <v>0</v>
      </c>
    </row>
    <row r="121" spans="1:18" x14ac:dyDescent="0.3">
      <c r="A121" s="4">
        <v>1524</v>
      </c>
      <c r="B121" s="5">
        <v>36198</v>
      </c>
      <c r="C121" s="5">
        <v>43920</v>
      </c>
      <c r="D121" s="4">
        <f t="shared" si="2"/>
        <v>21</v>
      </c>
      <c r="E121" s="6" t="str">
        <v>Proficient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3"/>
        <v>Voluntary</v>
      </c>
      <c r="N121" s="4" t="s">
        <v>20</v>
      </c>
      <c r="P121" s="23"/>
      <c r="R121" s="8"/>
    </row>
    <row r="122" spans="1:18" x14ac:dyDescent="0.3">
      <c r="A122" s="4">
        <v>1527</v>
      </c>
      <c r="B122" s="5">
        <v>39773</v>
      </c>
      <c r="C122" s="5">
        <v>43841</v>
      </c>
      <c r="D122" s="4">
        <f t="shared" si="2"/>
        <v>12</v>
      </c>
      <c r="E122" s="6" t="str">
        <v>Proficient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3"/>
        <v>Voluntary</v>
      </c>
      <c r="N122" s="4" t="s">
        <v>26</v>
      </c>
      <c r="P122" s="23" t="s">
        <v>121</v>
      </c>
      <c r="R122" s="8"/>
    </row>
    <row r="123" spans="1:18" x14ac:dyDescent="0.3">
      <c r="A123" s="4">
        <v>1528</v>
      </c>
      <c r="B123" s="5">
        <v>32988</v>
      </c>
      <c r="C123" s="5">
        <v>44090</v>
      </c>
      <c r="D123" s="4">
        <f t="shared" si="2"/>
        <v>30</v>
      </c>
      <c r="E123" s="6" t="str">
        <v>Proficient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3"/>
        <v>Voluntary</v>
      </c>
      <c r="N123" s="4" t="s">
        <v>26</v>
      </c>
      <c r="P123" s="23"/>
      <c r="Q123" t="s">
        <v>123</v>
      </c>
      <c r="R123" s="11">
        <v>7.0000000000000007E-2</v>
      </c>
    </row>
    <row r="124" spans="1:18" x14ac:dyDescent="0.3">
      <c r="A124" s="4">
        <v>1529</v>
      </c>
      <c r="B124" s="5">
        <v>37352</v>
      </c>
      <c r="C124" s="5">
        <v>43898</v>
      </c>
      <c r="D124" s="4">
        <f t="shared" si="2"/>
        <v>18</v>
      </c>
      <c r="E124" s="6" t="str">
        <v>Proficient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3"/>
        <v>Voluntary</v>
      </c>
      <c r="N124" s="4" t="s">
        <v>20</v>
      </c>
      <c r="P124" s="23"/>
      <c r="Q124" t="s">
        <v>124</v>
      </c>
      <c r="R124" s="24"/>
    </row>
    <row r="125" spans="1:18" x14ac:dyDescent="0.3">
      <c r="A125" s="4">
        <v>1530</v>
      </c>
      <c r="B125" s="5">
        <v>35876</v>
      </c>
      <c r="C125" s="5">
        <v>44186</v>
      </c>
      <c r="D125" s="4">
        <f t="shared" si="2"/>
        <v>22</v>
      </c>
      <c r="E125" s="6" t="str">
        <v>Proficient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3"/>
        <v>Voluntary</v>
      </c>
      <c r="N125" s="4" t="s">
        <v>26</v>
      </c>
      <c r="P125" s="23"/>
    </row>
    <row r="126" spans="1:18" ht="15" thickBot="1" x14ac:dyDescent="0.35">
      <c r="A126" s="4">
        <v>1532</v>
      </c>
      <c r="B126" s="5">
        <v>33526</v>
      </c>
      <c r="C126" s="5">
        <v>43884</v>
      </c>
      <c r="D126" s="4">
        <f t="shared" si="2"/>
        <v>29</v>
      </c>
      <c r="E126" s="6" t="str">
        <v>Proficient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3"/>
        <v>Voluntary</v>
      </c>
      <c r="N126" s="4" t="s">
        <v>26</v>
      </c>
      <c r="P126" s="23" t="s">
        <v>125</v>
      </c>
    </row>
    <row r="127" spans="1:18" x14ac:dyDescent="0.3">
      <c r="A127" s="4">
        <v>1533</v>
      </c>
      <c r="B127" s="5">
        <v>34490</v>
      </c>
      <c r="C127" s="5">
        <v>43910</v>
      </c>
      <c r="D127" s="4">
        <f t="shared" si="2"/>
        <v>26</v>
      </c>
      <c r="E127" s="6" t="str">
        <v>Proficient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3"/>
        <v>Voluntary</v>
      </c>
      <c r="N127" s="4" t="s">
        <v>20</v>
      </c>
      <c r="P127" s="23"/>
      <c r="Q127" s="15" t="s">
        <v>126</v>
      </c>
      <c r="R127" s="16" t="s">
        <v>127</v>
      </c>
    </row>
    <row r="128" spans="1:18" x14ac:dyDescent="0.3">
      <c r="A128" s="4">
        <v>1534</v>
      </c>
      <c r="B128" s="5">
        <v>36716</v>
      </c>
      <c r="C128" s="5">
        <v>43991</v>
      </c>
      <c r="D128" s="4">
        <f t="shared" si="2"/>
        <v>20</v>
      </c>
      <c r="E128" s="6" t="str">
        <v>Proficient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3"/>
        <v>Voluntary</v>
      </c>
      <c r="N128" s="4" t="s">
        <v>26</v>
      </c>
      <c r="P128" s="23"/>
      <c r="Q128" s="18">
        <v>0.04</v>
      </c>
      <c r="R128" s="13"/>
    </row>
    <row r="129" spans="1:18" x14ac:dyDescent="0.3">
      <c r="A129" s="4">
        <v>1535</v>
      </c>
      <c r="B129" s="5">
        <v>38015</v>
      </c>
      <c r="C129" s="5">
        <v>43837</v>
      </c>
      <c r="D129" s="4">
        <f t="shared" si="2"/>
        <v>16</v>
      </c>
      <c r="E129" s="6" t="str">
        <v>Proficient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3"/>
        <v>Voluntary</v>
      </c>
      <c r="N129" s="4" t="s">
        <v>20</v>
      </c>
      <c r="P129" s="23"/>
      <c r="Q129" s="18">
        <v>4.4999999999999998E-2</v>
      </c>
      <c r="R129" s="13"/>
    </row>
    <row r="130" spans="1:18" x14ac:dyDescent="0.3">
      <c r="A130" s="4">
        <v>1536</v>
      </c>
      <c r="B130" s="5">
        <v>36682</v>
      </c>
      <c r="C130" s="5">
        <v>43942</v>
      </c>
      <c r="D130" s="4">
        <f t="shared" si="2"/>
        <v>20</v>
      </c>
      <c r="E130" s="6" t="str">
        <v>Proficient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3"/>
        <v>Voluntary</v>
      </c>
      <c r="N130" s="4" t="s">
        <v>26</v>
      </c>
      <c r="P130" s="23"/>
      <c r="Q130" s="18">
        <v>0.05</v>
      </c>
      <c r="R130" s="13"/>
    </row>
    <row r="131" spans="1:18" x14ac:dyDescent="0.3">
      <c r="A131" s="4">
        <v>1538</v>
      </c>
      <c r="B131" s="5">
        <v>32997</v>
      </c>
      <c r="C131" s="5">
        <v>43916</v>
      </c>
      <c r="D131" s="4">
        <f t="shared" ref="D131:D194" si="4">YEAR(C131)-YEAR(B131)</f>
        <v>30</v>
      </c>
      <c r="E131" s="6" t="str">
        <v>Proficient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5">IF(OR(L131="Retirement",L131="Resignation"),"Voluntary","Involuntary")</f>
        <v>Voluntary</v>
      </c>
      <c r="N131" s="4" t="s">
        <v>20</v>
      </c>
      <c r="P131" s="23"/>
      <c r="Q131" s="18">
        <v>5.5E-2</v>
      </c>
      <c r="R131" s="13"/>
    </row>
    <row r="132" spans="1:18" x14ac:dyDescent="0.3">
      <c r="A132" s="4">
        <v>1541</v>
      </c>
      <c r="B132" s="5">
        <v>42069</v>
      </c>
      <c r="C132" s="5">
        <v>44144</v>
      </c>
      <c r="D132" s="4">
        <f t="shared" si="4"/>
        <v>5</v>
      </c>
      <c r="E132" s="6" t="str"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5"/>
        <v>Voluntary</v>
      </c>
      <c r="N132" s="4" t="s">
        <v>26</v>
      </c>
      <c r="P132" s="23"/>
      <c r="Q132" s="18">
        <v>0.06</v>
      </c>
      <c r="R132" s="13"/>
    </row>
    <row r="133" spans="1:18" x14ac:dyDescent="0.3">
      <c r="A133" s="4">
        <v>1542</v>
      </c>
      <c r="B133" s="5">
        <v>38634</v>
      </c>
      <c r="C133" s="5">
        <v>43947</v>
      </c>
      <c r="D133" s="4">
        <f t="shared" si="4"/>
        <v>15</v>
      </c>
      <c r="E133" s="6" t="str">
        <v>Proficient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5"/>
        <v>Voluntary</v>
      </c>
      <c r="N133" s="4" t="s">
        <v>26</v>
      </c>
      <c r="P133" s="23"/>
      <c r="Q133" s="18">
        <v>6.5000000000000002E-2</v>
      </c>
      <c r="R133" s="13"/>
    </row>
    <row r="134" spans="1:18" x14ac:dyDescent="0.3">
      <c r="A134" s="4">
        <v>1543</v>
      </c>
      <c r="B134" s="5">
        <v>42103</v>
      </c>
      <c r="C134" s="5">
        <v>44013</v>
      </c>
      <c r="D134" s="4">
        <f t="shared" si="4"/>
        <v>5</v>
      </c>
      <c r="E134" s="6" t="str"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5"/>
        <v>Voluntary</v>
      </c>
      <c r="N134" s="4" t="s">
        <v>20</v>
      </c>
      <c r="P134" s="23"/>
      <c r="Q134" s="18">
        <v>7.0000000000000007E-2</v>
      </c>
      <c r="R134" s="13"/>
    </row>
    <row r="135" spans="1:18" x14ac:dyDescent="0.3">
      <c r="A135" s="4">
        <v>1544</v>
      </c>
      <c r="B135" s="5">
        <v>37028</v>
      </c>
      <c r="C135" s="5">
        <v>44136</v>
      </c>
      <c r="D135" s="4">
        <f t="shared" si="4"/>
        <v>19</v>
      </c>
      <c r="E135" s="6" t="str">
        <v>Proficient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5"/>
        <v>Voluntary</v>
      </c>
      <c r="N135" s="4" t="s">
        <v>26</v>
      </c>
      <c r="P135" s="23"/>
      <c r="Q135" s="18">
        <v>7.4999999999999997E-2</v>
      </c>
      <c r="R135" s="13"/>
    </row>
    <row r="136" spans="1:18" x14ac:dyDescent="0.3">
      <c r="A136" s="4">
        <v>1545</v>
      </c>
      <c r="B136" s="5">
        <v>41264</v>
      </c>
      <c r="C136" s="5">
        <v>44011</v>
      </c>
      <c r="D136" s="4">
        <f t="shared" si="4"/>
        <v>8</v>
      </c>
      <c r="E136" s="6" t="str"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5"/>
        <v>Involuntary</v>
      </c>
      <c r="N136" s="4" t="s">
        <v>26</v>
      </c>
      <c r="P136" s="23"/>
      <c r="Q136" s="18">
        <v>0.08</v>
      </c>
      <c r="R136" s="13"/>
    </row>
    <row r="137" spans="1:18" x14ac:dyDescent="0.3">
      <c r="A137" s="4">
        <v>1546</v>
      </c>
      <c r="B137" s="5">
        <v>41694</v>
      </c>
      <c r="C137" s="5">
        <v>44036</v>
      </c>
      <c r="D137" s="4">
        <f t="shared" si="4"/>
        <v>6</v>
      </c>
      <c r="E137" s="6" t="str"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5"/>
        <v>Voluntary</v>
      </c>
      <c r="N137" s="4" t="s">
        <v>26</v>
      </c>
      <c r="P137" s="23"/>
      <c r="Q137" s="18">
        <v>8.5000000000000006E-2</v>
      </c>
      <c r="R137" s="13"/>
    </row>
    <row r="138" spans="1:18" x14ac:dyDescent="0.3">
      <c r="A138" s="4">
        <v>1547</v>
      </c>
      <c r="B138" s="5">
        <v>34362</v>
      </c>
      <c r="C138" s="5">
        <v>43831</v>
      </c>
      <c r="D138" s="4">
        <f t="shared" si="4"/>
        <v>26</v>
      </c>
      <c r="E138" s="6" t="str">
        <v>Proficient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5"/>
        <v>Voluntary</v>
      </c>
      <c r="N138" s="4" t="s">
        <v>26</v>
      </c>
      <c r="P138" s="23"/>
      <c r="Q138" s="18">
        <v>0.09</v>
      </c>
      <c r="R138" s="13"/>
    </row>
    <row r="139" spans="1:18" x14ac:dyDescent="0.3">
      <c r="A139" s="4">
        <v>1548</v>
      </c>
      <c r="B139" s="5">
        <v>36378</v>
      </c>
      <c r="C139" s="5">
        <v>43960</v>
      </c>
      <c r="D139" s="4">
        <f t="shared" si="4"/>
        <v>21</v>
      </c>
      <c r="E139" s="6" t="str">
        <v>Proficient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5"/>
        <v>Voluntary</v>
      </c>
      <c r="N139" s="4" t="s">
        <v>26</v>
      </c>
      <c r="P139" s="23"/>
      <c r="Q139" s="18">
        <v>9.5000000000000001E-2</v>
      </c>
      <c r="R139" s="13"/>
    </row>
    <row r="140" spans="1:18" ht="15" thickBot="1" x14ac:dyDescent="0.35">
      <c r="A140" s="4">
        <v>1549</v>
      </c>
      <c r="B140" s="5">
        <v>40050</v>
      </c>
      <c r="C140" s="5">
        <v>44163</v>
      </c>
      <c r="D140" s="4">
        <f t="shared" si="4"/>
        <v>11</v>
      </c>
      <c r="E140" s="6" t="str">
        <v>Proficient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5"/>
        <v>Voluntary</v>
      </c>
      <c r="N140" s="4" t="s">
        <v>26</v>
      </c>
      <c r="P140" s="23"/>
      <c r="Q140" s="17">
        <v>0.1</v>
      </c>
      <c r="R140" s="14"/>
    </row>
    <row r="141" spans="1:18" x14ac:dyDescent="0.3">
      <c r="A141" s="4">
        <v>1550</v>
      </c>
      <c r="B141" s="5">
        <v>38267</v>
      </c>
      <c r="C141" s="5">
        <v>44104</v>
      </c>
      <c r="D141" s="4">
        <f t="shared" si="4"/>
        <v>16</v>
      </c>
      <c r="E141" s="6" t="str">
        <v>Proficient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5"/>
        <v>Voluntary</v>
      </c>
      <c r="N141" s="4" t="s">
        <v>20</v>
      </c>
      <c r="P141" s="23"/>
    </row>
    <row r="142" spans="1:18" x14ac:dyDescent="0.3">
      <c r="A142" s="4">
        <v>1552</v>
      </c>
      <c r="B142" s="5">
        <v>36423</v>
      </c>
      <c r="C142" s="5">
        <v>43951</v>
      </c>
      <c r="D142" s="4">
        <f t="shared" si="4"/>
        <v>21</v>
      </c>
      <c r="E142" s="6" t="str">
        <v>Proficient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5"/>
        <v>Voluntary</v>
      </c>
      <c r="N142" s="4" t="s">
        <v>26</v>
      </c>
      <c r="P142" s="23" t="s">
        <v>128</v>
      </c>
    </row>
    <row r="143" spans="1:18" ht="15" thickBot="1" x14ac:dyDescent="0.35">
      <c r="A143" s="4">
        <v>1553</v>
      </c>
      <c r="B143" s="5">
        <v>39805</v>
      </c>
      <c r="C143" s="5">
        <v>43839</v>
      </c>
      <c r="D143" s="4">
        <f t="shared" si="4"/>
        <v>12</v>
      </c>
      <c r="E143" s="6" t="str">
        <v>Proficient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5"/>
        <v>Voluntary</v>
      </c>
      <c r="N143" s="4" t="s">
        <v>26</v>
      </c>
      <c r="P143" s="23"/>
      <c r="Q143" t="s">
        <v>129</v>
      </c>
    </row>
    <row r="144" spans="1:18" x14ac:dyDescent="0.3">
      <c r="A144" s="4">
        <v>1554</v>
      </c>
      <c r="B144" s="5">
        <v>35923</v>
      </c>
      <c r="C144" s="5">
        <v>44089</v>
      </c>
      <c r="D144" s="4">
        <f t="shared" si="4"/>
        <v>22</v>
      </c>
      <c r="E144" s="6" t="str">
        <v>Proficient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5"/>
        <v>Voluntary</v>
      </c>
      <c r="N144" s="4" t="s">
        <v>26</v>
      </c>
      <c r="P144" s="23"/>
      <c r="Q144" s="15" t="s">
        <v>126</v>
      </c>
      <c r="R144" s="16" t="s">
        <v>127</v>
      </c>
    </row>
    <row r="145" spans="1:18" ht="15" thickBot="1" x14ac:dyDescent="0.35">
      <c r="A145" s="4">
        <v>1556</v>
      </c>
      <c r="B145" s="5">
        <v>33192</v>
      </c>
      <c r="C145" s="5">
        <v>44108</v>
      </c>
      <c r="D145" s="4">
        <f t="shared" si="4"/>
        <v>30</v>
      </c>
      <c r="E145" s="6" t="str">
        <v>Proficient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5"/>
        <v>Voluntary</v>
      </c>
      <c r="N145" s="4" t="s">
        <v>26</v>
      </c>
      <c r="P145" s="23"/>
      <c r="Q145" s="17"/>
      <c r="R145" s="14"/>
    </row>
    <row r="146" spans="1:18" x14ac:dyDescent="0.3">
      <c r="A146" s="4">
        <v>1558</v>
      </c>
      <c r="B146" s="5">
        <v>39280</v>
      </c>
      <c r="C146" s="5">
        <v>43991</v>
      </c>
      <c r="D146" s="4">
        <f t="shared" si="4"/>
        <v>13</v>
      </c>
      <c r="E146" s="6" t="str">
        <v>Proficient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5"/>
        <v>Voluntary</v>
      </c>
      <c r="N146" s="4" t="s">
        <v>26</v>
      </c>
      <c r="P146" s="23"/>
    </row>
    <row r="147" spans="1:18" x14ac:dyDescent="0.3">
      <c r="A147" s="4">
        <v>1559</v>
      </c>
      <c r="B147" s="5">
        <v>32923</v>
      </c>
      <c r="C147" s="5">
        <v>43938</v>
      </c>
      <c r="D147" s="4">
        <f t="shared" si="4"/>
        <v>30</v>
      </c>
      <c r="E147" s="6" t="str">
        <v>Proficient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5"/>
        <v>Voluntary</v>
      </c>
      <c r="N147" s="4" t="s">
        <v>20</v>
      </c>
      <c r="P147" s="23" t="s">
        <v>130</v>
      </c>
    </row>
    <row r="148" spans="1:18" ht="15" thickBot="1" x14ac:dyDescent="0.35">
      <c r="A148" s="4">
        <v>1560</v>
      </c>
      <c r="B148" s="5">
        <v>42064</v>
      </c>
      <c r="C148" s="5">
        <v>43938</v>
      </c>
      <c r="D148" s="4">
        <f t="shared" si="4"/>
        <v>5</v>
      </c>
      <c r="E148" s="6" t="str"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5"/>
        <v>Voluntary</v>
      </c>
      <c r="N148" s="4" t="s">
        <v>20</v>
      </c>
      <c r="P148" s="23"/>
      <c r="Q148" s="10" t="s">
        <v>122</v>
      </c>
    </row>
    <row r="149" spans="1:18" x14ac:dyDescent="0.3">
      <c r="A149" s="4">
        <v>1562</v>
      </c>
      <c r="B149" s="5">
        <v>37144</v>
      </c>
      <c r="C149" s="5">
        <v>44032</v>
      </c>
      <c r="D149" s="4">
        <f t="shared" si="4"/>
        <v>19</v>
      </c>
      <c r="E149" s="6" t="str">
        <v>Proficient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5"/>
        <v>Voluntary</v>
      </c>
      <c r="N149" s="4" t="s">
        <v>26</v>
      </c>
      <c r="P149" s="23"/>
      <c r="Q149" s="15" t="s">
        <v>131</v>
      </c>
      <c r="R149" s="16" t="s">
        <v>132</v>
      </c>
    </row>
    <row r="150" spans="1:18" x14ac:dyDescent="0.3">
      <c r="A150" s="4">
        <v>1566</v>
      </c>
      <c r="B150" s="5">
        <v>40942</v>
      </c>
      <c r="C150" s="5">
        <v>43995</v>
      </c>
      <c r="D150" s="4">
        <f t="shared" si="4"/>
        <v>8</v>
      </c>
      <c r="E150" s="6" t="str"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5"/>
        <v>Voluntary</v>
      </c>
      <c r="N150" s="4" t="s">
        <v>20</v>
      </c>
      <c r="P150" s="23"/>
      <c r="Q150" s="19"/>
      <c r="R150" s="13"/>
    </row>
    <row r="151" spans="1:18" x14ac:dyDescent="0.3">
      <c r="A151" s="4">
        <v>1567</v>
      </c>
      <c r="B151" s="5">
        <v>36861</v>
      </c>
      <c r="C151" s="5">
        <v>44167</v>
      </c>
      <c r="D151" s="4">
        <f t="shared" si="4"/>
        <v>20</v>
      </c>
      <c r="E151" s="6" t="str">
        <v>Proficient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5"/>
        <v>Voluntary</v>
      </c>
      <c r="N151" s="4" t="s">
        <v>26</v>
      </c>
      <c r="P151" s="23"/>
      <c r="Q151" s="19"/>
      <c r="R151" s="13"/>
    </row>
    <row r="152" spans="1:18" ht="15" thickBot="1" x14ac:dyDescent="0.35">
      <c r="A152" s="4">
        <v>1568</v>
      </c>
      <c r="B152" s="5">
        <v>37581</v>
      </c>
      <c r="C152" s="5">
        <v>43945</v>
      </c>
      <c r="D152" s="4">
        <f t="shared" si="4"/>
        <v>18</v>
      </c>
      <c r="E152" s="6" t="str">
        <v>Proficient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5"/>
        <v>Voluntary</v>
      </c>
      <c r="N152" s="4" t="s">
        <v>26</v>
      </c>
      <c r="P152" s="23"/>
      <c r="Q152" s="20"/>
      <c r="R152" s="13"/>
    </row>
    <row r="153" spans="1:18" x14ac:dyDescent="0.3">
      <c r="A153" s="4">
        <v>1569</v>
      </c>
      <c r="B153" s="5">
        <v>38575</v>
      </c>
      <c r="C153" s="5">
        <v>43974</v>
      </c>
      <c r="D153" s="4">
        <f t="shared" si="4"/>
        <v>15</v>
      </c>
      <c r="E153" s="6" t="str">
        <v>Proficient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5"/>
        <v>Voluntary</v>
      </c>
      <c r="N153" s="4" t="s">
        <v>26</v>
      </c>
      <c r="P153" s="23"/>
    </row>
    <row r="154" spans="1:18" ht="15" thickBot="1" x14ac:dyDescent="0.35">
      <c r="A154" s="4">
        <v>1571</v>
      </c>
      <c r="B154" s="5">
        <v>41167</v>
      </c>
      <c r="C154" s="5">
        <v>43894</v>
      </c>
      <c r="D154" s="4">
        <f t="shared" si="4"/>
        <v>8</v>
      </c>
      <c r="E154" s="6" t="str"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5"/>
        <v>Voluntary</v>
      </c>
      <c r="N154" s="4" t="s">
        <v>20</v>
      </c>
      <c r="P154" s="23"/>
      <c r="Q154" s="21" t="s">
        <v>133</v>
      </c>
    </row>
    <row r="155" spans="1:18" x14ac:dyDescent="0.3">
      <c r="A155" s="4">
        <v>1573</v>
      </c>
      <c r="B155" s="5">
        <v>42035</v>
      </c>
      <c r="C155" s="5">
        <v>43881</v>
      </c>
      <c r="D155" s="4">
        <f t="shared" si="4"/>
        <v>5</v>
      </c>
      <c r="E155" s="6" t="str"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5"/>
        <v>Voluntary</v>
      </c>
      <c r="N155" s="4" t="s">
        <v>26</v>
      </c>
      <c r="P155" s="23"/>
      <c r="Q155" s="15" t="s">
        <v>131</v>
      </c>
      <c r="R155" s="16" t="s">
        <v>132</v>
      </c>
    </row>
    <row r="156" spans="1:18" ht="15" thickBot="1" x14ac:dyDescent="0.35">
      <c r="A156" s="4">
        <v>1574</v>
      </c>
      <c r="B156" s="5">
        <v>36765</v>
      </c>
      <c r="C156" s="5">
        <v>44179</v>
      </c>
      <c r="D156" s="4">
        <f t="shared" si="4"/>
        <v>20</v>
      </c>
      <c r="E156" s="6" t="str">
        <v>Proficient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5"/>
        <v>Voluntary</v>
      </c>
      <c r="N156" s="4" t="s">
        <v>26</v>
      </c>
      <c r="P156" s="23"/>
      <c r="Q156" s="20"/>
      <c r="R156" s="14"/>
    </row>
    <row r="157" spans="1:18" x14ac:dyDescent="0.3">
      <c r="A157" s="4">
        <v>1575</v>
      </c>
      <c r="B157" s="5">
        <v>35491</v>
      </c>
      <c r="C157" s="5">
        <v>43871</v>
      </c>
      <c r="D157" s="4">
        <f t="shared" si="4"/>
        <v>23</v>
      </c>
      <c r="E157" s="6" t="str">
        <v>Proficient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5"/>
        <v>Voluntary</v>
      </c>
      <c r="N157" s="4" t="s">
        <v>26</v>
      </c>
      <c r="P157" s="23"/>
    </row>
    <row r="158" spans="1:18" x14ac:dyDescent="0.3">
      <c r="A158" s="4">
        <v>1578</v>
      </c>
      <c r="B158" s="5">
        <v>38795</v>
      </c>
      <c r="C158" s="5">
        <v>43912</v>
      </c>
      <c r="D158" s="4">
        <f t="shared" si="4"/>
        <v>14</v>
      </c>
      <c r="E158" s="6" t="str">
        <v>Proficient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5"/>
        <v>Voluntary</v>
      </c>
      <c r="N158" s="4" t="s">
        <v>20</v>
      </c>
      <c r="P158" s="23" t="s">
        <v>134</v>
      </c>
      <c r="Q158" t="s">
        <v>135</v>
      </c>
    </row>
    <row r="159" spans="1:18" x14ac:dyDescent="0.3">
      <c r="A159" s="4">
        <v>1579</v>
      </c>
      <c r="B159" s="5">
        <v>38868</v>
      </c>
      <c r="C159" s="5">
        <v>43916</v>
      </c>
      <c r="D159" s="4">
        <f t="shared" si="4"/>
        <v>14</v>
      </c>
      <c r="E159" s="6" t="str">
        <v>Proficient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5"/>
        <v>Voluntary</v>
      </c>
      <c r="N159" s="4" t="s">
        <v>20</v>
      </c>
      <c r="P159" s="23"/>
    </row>
    <row r="160" spans="1:18" x14ac:dyDescent="0.3">
      <c r="A160" s="4">
        <v>1580</v>
      </c>
      <c r="B160" s="5">
        <v>37073</v>
      </c>
      <c r="C160" s="5">
        <v>44014</v>
      </c>
      <c r="D160" s="4">
        <f t="shared" si="4"/>
        <v>19</v>
      </c>
      <c r="E160" s="6" t="str">
        <v>Proficient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5"/>
        <v>Voluntary</v>
      </c>
      <c r="N160" s="4" t="s">
        <v>26</v>
      </c>
      <c r="P160" s="23"/>
      <c r="Q160" t="s">
        <v>136</v>
      </c>
    </row>
    <row r="161" spans="1:18" x14ac:dyDescent="0.3">
      <c r="A161" s="4">
        <v>1581</v>
      </c>
      <c r="B161" s="5">
        <v>41840</v>
      </c>
      <c r="C161" s="5">
        <v>43986</v>
      </c>
      <c r="D161" s="4">
        <f t="shared" si="4"/>
        <v>6</v>
      </c>
      <c r="E161" s="6" t="str"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5"/>
        <v>Voluntary</v>
      </c>
      <c r="N161" s="4" t="s">
        <v>26</v>
      </c>
      <c r="P161" s="23"/>
      <c r="Q161" t="s">
        <v>137</v>
      </c>
      <c r="R161" s="22"/>
    </row>
    <row r="162" spans="1:18" x14ac:dyDescent="0.3">
      <c r="A162" s="4">
        <v>1585</v>
      </c>
      <c r="B162" s="5">
        <v>37227</v>
      </c>
      <c r="C162" s="5">
        <v>43849</v>
      </c>
      <c r="D162" s="4">
        <f t="shared" si="4"/>
        <v>19</v>
      </c>
      <c r="E162" s="6" t="str">
        <v>Proficient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5"/>
        <v>Voluntary</v>
      </c>
      <c r="N162" s="4" t="s">
        <v>26</v>
      </c>
      <c r="P162" s="23"/>
      <c r="Q162" t="s">
        <v>138</v>
      </c>
      <c r="R162" s="8"/>
    </row>
    <row r="163" spans="1:18" x14ac:dyDescent="0.3">
      <c r="A163" s="4">
        <v>1586</v>
      </c>
      <c r="B163" s="5">
        <v>33743</v>
      </c>
      <c r="C163" s="5">
        <v>44148</v>
      </c>
      <c r="D163" s="4">
        <f t="shared" si="4"/>
        <v>28</v>
      </c>
      <c r="E163" s="6" t="str">
        <v>Proficient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5"/>
        <v>Voluntary</v>
      </c>
      <c r="N163" s="4" t="s">
        <v>26</v>
      </c>
      <c r="P163" s="23"/>
      <c r="Q163" s="10" t="s">
        <v>139</v>
      </c>
      <c r="R163" s="25"/>
    </row>
    <row r="164" spans="1:18" x14ac:dyDescent="0.3">
      <c r="A164" s="4">
        <v>1587</v>
      </c>
      <c r="B164" s="5">
        <v>40729</v>
      </c>
      <c r="C164" s="5">
        <v>44149</v>
      </c>
      <c r="D164" s="4">
        <f t="shared" si="4"/>
        <v>9</v>
      </c>
      <c r="E164" s="6" t="str"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5"/>
        <v>Voluntary</v>
      </c>
      <c r="N164" s="4" t="s">
        <v>26</v>
      </c>
      <c r="P164" s="23"/>
    </row>
    <row r="165" spans="1:18" x14ac:dyDescent="0.3">
      <c r="A165" s="4">
        <v>1588</v>
      </c>
      <c r="B165" s="5">
        <v>35808</v>
      </c>
      <c r="C165" s="5">
        <v>43920</v>
      </c>
      <c r="D165" s="4">
        <f t="shared" si="4"/>
        <v>22</v>
      </c>
      <c r="E165" s="6" t="str">
        <v>Proficient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5"/>
        <v>Voluntary</v>
      </c>
      <c r="N165" s="4" t="s">
        <v>26</v>
      </c>
      <c r="P165" s="23" t="s">
        <v>140</v>
      </c>
    </row>
    <row r="166" spans="1:18" x14ac:dyDescent="0.3">
      <c r="A166" s="4">
        <v>1589</v>
      </c>
      <c r="B166" s="5">
        <v>35213</v>
      </c>
      <c r="C166" s="5">
        <v>44172</v>
      </c>
      <c r="D166" s="4">
        <f t="shared" si="4"/>
        <v>24</v>
      </c>
      <c r="E166" s="6" t="str">
        <v>Proficient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5"/>
        <v>Voluntary</v>
      </c>
      <c r="N166" s="4" t="s">
        <v>26</v>
      </c>
      <c r="P166" s="23"/>
    </row>
    <row r="167" spans="1:18" x14ac:dyDescent="0.3">
      <c r="A167" s="4">
        <v>1590</v>
      </c>
      <c r="B167" s="5">
        <v>36355</v>
      </c>
      <c r="C167" s="5">
        <v>43957</v>
      </c>
      <c r="D167" s="4">
        <f t="shared" si="4"/>
        <v>21</v>
      </c>
      <c r="E167" s="6" t="str">
        <v>Proficient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5"/>
        <v>Voluntary</v>
      </c>
      <c r="N167" s="4" t="s">
        <v>26</v>
      </c>
      <c r="P167" s="23"/>
    </row>
    <row r="168" spans="1:18" x14ac:dyDescent="0.3">
      <c r="A168" s="4">
        <v>1592</v>
      </c>
      <c r="B168" s="5">
        <v>42340</v>
      </c>
      <c r="C168" s="5">
        <v>43863</v>
      </c>
      <c r="D168" s="4">
        <f t="shared" si="4"/>
        <v>5</v>
      </c>
      <c r="E168" s="6" t="str"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5"/>
        <v>Voluntary</v>
      </c>
      <c r="N168" s="4" t="s">
        <v>20</v>
      </c>
      <c r="P168" s="23"/>
    </row>
    <row r="169" spans="1:18" x14ac:dyDescent="0.3">
      <c r="A169" s="4">
        <v>1593</v>
      </c>
      <c r="B169" s="5">
        <v>36911</v>
      </c>
      <c r="C169" s="5">
        <v>44187</v>
      </c>
      <c r="D169" s="4">
        <f t="shared" si="4"/>
        <v>19</v>
      </c>
      <c r="E169" s="6" t="str">
        <v>Proficient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5"/>
        <v>Voluntary</v>
      </c>
      <c r="N169" s="4" t="s">
        <v>26</v>
      </c>
      <c r="P169" s="23"/>
    </row>
    <row r="170" spans="1:18" x14ac:dyDescent="0.3">
      <c r="A170" s="4">
        <v>1594</v>
      </c>
      <c r="B170" s="5">
        <v>37695</v>
      </c>
      <c r="C170" s="5">
        <v>43837</v>
      </c>
      <c r="D170" s="4">
        <f t="shared" si="4"/>
        <v>17</v>
      </c>
      <c r="E170" s="6" t="str">
        <v>Proficient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5"/>
        <v>Voluntary</v>
      </c>
      <c r="N170" s="4" t="s">
        <v>20</v>
      </c>
      <c r="P170" s="23"/>
    </row>
    <row r="171" spans="1:18" x14ac:dyDescent="0.3">
      <c r="A171" s="4">
        <v>1595</v>
      </c>
      <c r="B171" s="5">
        <v>34326</v>
      </c>
      <c r="C171" s="5">
        <v>44118</v>
      </c>
      <c r="D171" s="4">
        <f t="shared" si="4"/>
        <v>27</v>
      </c>
      <c r="E171" s="6" t="str">
        <v>Proficient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5"/>
        <v>Voluntary</v>
      </c>
      <c r="N171" s="4" t="s">
        <v>26</v>
      </c>
      <c r="P171" s="23"/>
    </row>
    <row r="172" spans="1:18" x14ac:dyDescent="0.3">
      <c r="A172" s="4">
        <v>1596</v>
      </c>
      <c r="B172" s="5">
        <v>40371</v>
      </c>
      <c r="C172" s="5">
        <v>44077</v>
      </c>
      <c r="D172" s="4">
        <f t="shared" si="4"/>
        <v>10</v>
      </c>
      <c r="E172" s="6" t="str"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5"/>
        <v>Voluntary</v>
      </c>
      <c r="N172" s="4" t="s">
        <v>20</v>
      </c>
      <c r="P172" s="23"/>
    </row>
    <row r="173" spans="1:18" x14ac:dyDescent="0.3">
      <c r="A173" s="4">
        <v>1597</v>
      </c>
      <c r="B173" s="5">
        <v>40563</v>
      </c>
      <c r="C173" s="5">
        <v>44025</v>
      </c>
      <c r="D173" s="4">
        <f t="shared" si="4"/>
        <v>9</v>
      </c>
      <c r="E173" s="6" t="str"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5"/>
        <v>Voluntary</v>
      </c>
      <c r="N173" s="4" t="s">
        <v>20</v>
      </c>
      <c r="P173" s="23"/>
    </row>
    <row r="174" spans="1:18" x14ac:dyDescent="0.3">
      <c r="A174" s="4">
        <v>1598</v>
      </c>
      <c r="B174" s="5">
        <v>42101</v>
      </c>
      <c r="C174" s="5">
        <v>44179</v>
      </c>
      <c r="D174" s="4">
        <f t="shared" si="4"/>
        <v>5</v>
      </c>
      <c r="E174" s="6" t="str"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5"/>
        <v>Voluntary</v>
      </c>
      <c r="N174" s="4" t="s">
        <v>20</v>
      </c>
    </row>
    <row r="175" spans="1:18" x14ac:dyDescent="0.3">
      <c r="A175" s="4">
        <v>1599</v>
      </c>
      <c r="B175" s="5">
        <v>39258</v>
      </c>
      <c r="C175" s="5">
        <v>44016</v>
      </c>
      <c r="D175" s="4">
        <f t="shared" si="4"/>
        <v>13</v>
      </c>
      <c r="E175" s="6" t="str">
        <v>Proficient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5"/>
        <v>Voluntary</v>
      </c>
      <c r="N175" s="4" t="s">
        <v>26</v>
      </c>
    </row>
    <row r="176" spans="1:18" x14ac:dyDescent="0.3">
      <c r="A176" s="4">
        <v>1600</v>
      </c>
      <c r="B176" s="5">
        <v>35126</v>
      </c>
      <c r="C176" s="5">
        <v>44089</v>
      </c>
      <c r="D176" s="4">
        <f t="shared" si="4"/>
        <v>24</v>
      </c>
      <c r="E176" s="6" t="str">
        <v>Proficient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5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4"/>
        <v>17</v>
      </c>
      <c r="E177" s="6" t="str">
        <v>Proficient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5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4"/>
        <v>14</v>
      </c>
      <c r="E178" s="6" t="str">
        <v>Proficient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5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4"/>
        <v>11</v>
      </c>
      <c r="E179" s="6" t="str">
        <v>Proficient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5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4"/>
        <v>11</v>
      </c>
      <c r="E180" s="6" t="str">
        <v>Proficient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5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4"/>
        <v>12</v>
      </c>
      <c r="E181" s="6" t="str">
        <v>Proficient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5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4"/>
        <v>23</v>
      </c>
      <c r="E182" s="6" t="str">
        <v>Proficient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5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4"/>
        <v>8</v>
      </c>
      <c r="E183" s="6" t="str"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5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4"/>
        <v>22</v>
      </c>
      <c r="E184" s="6" t="str">
        <v>Proficient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5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4"/>
        <v>15</v>
      </c>
      <c r="E185" s="6" t="str">
        <v>Proficient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5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4"/>
        <v>19</v>
      </c>
      <c r="E186" s="6" t="str">
        <v>Proficient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5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4"/>
        <v>29</v>
      </c>
      <c r="E187" s="6" t="str">
        <v>Proficient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5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4"/>
        <v>17</v>
      </c>
      <c r="E188" s="6" t="str">
        <v>Proficient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5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4"/>
        <v>11</v>
      </c>
      <c r="E189" s="6" t="str">
        <v>Proficient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5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4"/>
        <v>8</v>
      </c>
      <c r="E190" s="6" t="str"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5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4"/>
        <v>26</v>
      </c>
      <c r="E191" s="6" t="str">
        <v>Proficient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5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4"/>
        <v>21</v>
      </c>
      <c r="E192" s="6" t="str">
        <v>Proficient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5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4"/>
        <v>29</v>
      </c>
      <c r="E193" s="6" t="str">
        <v>Proficient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5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4"/>
        <v>20</v>
      </c>
      <c r="E194" s="6" t="str">
        <v>Proficient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5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6">YEAR(C195)-YEAR(B195)</f>
        <v>15</v>
      </c>
      <c r="E195" s="6" t="str">
        <v>Proficient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7">IF(OR(L195="Retirement",L195="Resignation"),"Voluntary","Involuntary")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6"/>
        <v>25</v>
      </c>
      <c r="E196" s="6" t="str">
        <v>Proficient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7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6"/>
        <v>7</v>
      </c>
      <c r="E197" s="6" t="str"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7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6"/>
        <v>23</v>
      </c>
      <c r="E198" s="6" t="str">
        <v>Proficient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7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6"/>
        <v>27</v>
      </c>
      <c r="E199" s="6" t="str">
        <v>Proficient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7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6"/>
        <v>12</v>
      </c>
      <c r="E200" s="6" t="str">
        <v>Proficient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7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6"/>
        <v>5</v>
      </c>
      <c r="E201" s="6" t="str"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7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6"/>
        <v>26</v>
      </c>
      <c r="E202" s="6" t="str">
        <v>Proficient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7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6"/>
        <v>15</v>
      </c>
      <c r="E203" s="6" t="str">
        <v>Proficient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7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6"/>
        <v>29</v>
      </c>
      <c r="E204" s="6" t="str">
        <v>Proficient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7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6"/>
        <v>20</v>
      </c>
      <c r="E205" s="6" t="str">
        <v>Proficient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7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6"/>
        <v>25</v>
      </c>
      <c r="E206" s="6" t="str">
        <v>Proficient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7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6"/>
        <v>24</v>
      </c>
      <c r="E207" s="6" t="str">
        <v>Proficient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7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6"/>
        <v>21</v>
      </c>
      <c r="E208" s="6" t="str">
        <v>Proficient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7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6"/>
        <v>25</v>
      </c>
      <c r="E209" s="6" t="str">
        <v>Proficient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7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6"/>
        <v>27</v>
      </c>
      <c r="E210" s="6" t="str">
        <v>Proficient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7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6"/>
        <v>21</v>
      </c>
      <c r="E211" s="6" t="str">
        <v>Proficient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7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6"/>
        <v>20</v>
      </c>
      <c r="E212" s="6" t="str">
        <v>Proficient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7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6"/>
        <v>15</v>
      </c>
      <c r="E213" s="6" t="str">
        <v>Proficient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7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6"/>
        <v>23</v>
      </c>
      <c r="E214" s="6" t="str">
        <v>Proficient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7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6"/>
        <v>26</v>
      </c>
      <c r="E215" s="6" t="str">
        <v>Proficient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7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6"/>
        <v>18</v>
      </c>
      <c r="E216" s="6" t="str">
        <v>Proficient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7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6"/>
        <v>28</v>
      </c>
      <c r="E217" s="6" t="str">
        <v>Proficient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7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6"/>
        <v>24</v>
      </c>
      <c r="E218" s="6" t="str">
        <v>Proficient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7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6"/>
        <v>7</v>
      </c>
      <c r="E219" s="6" t="str"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7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6"/>
        <v>15</v>
      </c>
      <c r="E220" s="6" t="str">
        <v>Proficient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7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6"/>
        <v>26</v>
      </c>
      <c r="E221" s="6" t="str">
        <v>Proficient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7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6"/>
        <v>27</v>
      </c>
      <c r="E222" s="6" t="str">
        <v>Proficient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7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6"/>
        <v>6</v>
      </c>
      <c r="E223" s="6" t="str"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7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6"/>
        <v>17</v>
      </c>
      <c r="E224" s="6" t="str">
        <v>Proficient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7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6"/>
        <v>16</v>
      </c>
      <c r="E225" s="6" t="str">
        <v>Proficient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7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6"/>
        <v>8</v>
      </c>
      <c r="E226" s="6" t="str"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7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6"/>
        <v>15</v>
      </c>
      <c r="E227" s="6" t="str">
        <v>Proficient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7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6"/>
        <v>21</v>
      </c>
      <c r="E228" s="6" t="str">
        <v>Proficient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7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6"/>
        <v>25</v>
      </c>
      <c r="E229" s="6" t="str">
        <v>Proficient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7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6"/>
        <v>11</v>
      </c>
      <c r="E230" s="6" t="str">
        <v>Proficient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7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6"/>
        <v>24</v>
      </c>
      <c r="E231" s="6" t="str">
        <v>Proficient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7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6"/>
        <v>18</v>
      </c>
      <c r="E232" s="6" t="str">
        <v>Proficient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7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6"/>
        <v>17</v>
      </c>
      <c r="E233" s="6" t="str">
        <v>Proficient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7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6"/>
        <v>21</v>
      </c>
      <c r="E234" s="6" t="str">
        <v>Proficient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7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6"/>
        <v>11</v>
      </c>
      <c r="E235" s="6" t="str">
        <v>Proficient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7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6"/>
        <v>30</v>
      </c>
      <c r="E236" s="6" t="str">
        <v>Proficient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7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6"/>
        <v>13</v>
      </c>
      <c r="E237" s="6" t="str">
        <v>Proficient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7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6"/>
        <v>14</v>
      </c>
      <c r="E238" s="6" t="str">
        <v>Proficient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7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6"/>
        <v>30</v>
      </c>
      <c r="E239" s="6" t="str">
        <v>Proficient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7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6"/>
        <v>20</v>
      </c>
      <c r="E240" s="6" t="str">
        <v>Proficient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7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6"/>
        <v>25</v>
      </c>
      <c r="E241" s="6" t="str">
        <v>Proficient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7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6"/>
        <v>20</v>
      </c>
      <c r="E242" s="6" t="str">
        <v>Proficient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7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6"/>
        <v>8</v>
      </c>
      <c r="E243" s="6" t="str"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7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6"/>
        <v>29</v>
      </c>
      <c r="E244" s="6" t="str">
        <v>Proficient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7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6"/>
        <v>26</v>
      </c>
      <c r="E245" s="6" t="str">
        <v>Proficient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7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6"/>
        <v>12</v>
      </c>
      <c r="E246" s="6" t="str">
        <v>Proficient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7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6"/>
        <v>29</v>
      </c>
      <c r="E247" s="6" t="str">
        <v>Proficient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7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6"/>
        <v>16</v>
      </c>
      <c r="E248" s="6" t="str">
        <v>Proficient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7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6"/>
        <v>22</v>
      </c>
      <c r="E249" s="6" t="str">
        <v>Proficient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7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6"/>
        <v>25</v>
      </c>
      <c r="E250" s="6" t="str">
        <v>Proficient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7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6"/>
        <v>29</v>
      </c>
      <c r="E251" s="6" t="str">
        <v>Proficient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7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6"/>
        <v>7</v>
      </c>
      <c r="E252" s="6" t="str"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7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6"/>
        <v>29</v>
      </c>
      <c r="E253" s="6" t="str">
        <v>Proficient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7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6"/>
        <v>14</v>
      </c>
      <c r="E254" s="6" t="str">
        <v>Proficient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7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6"/>
        <v>11</v>
      </c>
      <c r="E255" s="6" t="str">
        <v>Proficient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7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6"/>
        <v>15</v>
      </c>
      <c r="E256" s="6" t="str">
        <v>Proficient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7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6"/>
        <v>26</v>
      </c>
      <c r="E257" s="6" t="str">
        <v>Proficient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7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6"/>
        <v>9</v>
      </c>
      <c r="E258" s="6" t="str"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7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8">YEAR(C259)-YEAR(B259)</f>
        <v>6</v>
      </c>
      <c r="E259" s="6" t="str"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9">IF(OR(L259="Retirement",L259="Resignation"),"Voluntary","Involuntary")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8"/>
        <v>16</v>
      </c>
      <c r="E260" s="6" t="str">
        <v>Proficient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9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8"/>
        <v>14</v>
      </c>
      <c r="E261" s="6" t="str">
        <v>Proficient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9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8"/>
        <v>11</v>
      </c>
      <c r="E262" s="6" t="str">
        <v>Proficient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9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8"/>
        <v>15</v>
      </c>
      <c r="E263" s="6" t="str">
        <v>Proficient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9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8"/>
        <v>16</v>
      </c>
      <c r="E264" s="6" t="str">
        <v>Proficient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9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8"/>
        <v>19</v>
      </c>
      <c r="E265" s="6" t="str">
        <v>Proficient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9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8"/>
        <v>27</v>
      </c>
      <c r="E266" s="6" t="str">
        <v>Proficient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9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8"/>
        <v>29</v>
      </c>
      <c r="E267" s="6" t="str">
        <v>Proficient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9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8"/>
        <v>14</v>
      </c>
      <c r="E268" s="6" t="str">
        <v>Proficient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9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8"/>
        <v>19</v>
      </c>
      <c r="E269" s="6" t="str">
        <v>Proficient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9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8"/>
        <v>26</v>
      </c>
      <c r="E270" s="6" t="str">
        <v>Proficient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9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8"/>
        <v>30</v>
      </c>
      <c r="E271" s="6" t="str">
        <v>Proficient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9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8"/>
        <v>27</v>
      </c>
      <c r="E272" s="6" t="str">
        <v>Proficient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9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8"/>
        <v>16</v>
      </c>
      <c r="E273" s="6" t="str">
        <v>Proficient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9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8"/>
        <v>23</v>
      </c>
      <c r="E274" s="6" t="str">
        <v>Proficient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9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8"/>
        <v>9</v>
      </c>
      <c r="E275" s="6" t="str"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9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8"/>
        <v>15</v>
      </c>
      <c r="E276" s="6" t="str">
        <v>Proficient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9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8"/>
        <v>17</v>
      </c>
      <c r="E277" s="6" t="str">
        <v>Proficient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9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8"/>
        <v>29</v>
      </c>
      <c r="E278" s="6" t="str">
        <v>Proficient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9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8"/>
        <v>8</v>
      </c>
      <c r="E279" s="6" t="str"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9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8"/>
        <v>24</v>
      </c>
      <c r="E280" s="6" t="str">
        <v>Proficient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9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8"/>
        <v>19</v>
      </c>
      <c r="E281" s="6" t="str">
        <v>Proficient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9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8"/>
        <v>17</v>
      </c>
      <c r="E282" s="6" t="str">
        <v>Proficient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9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8"/>
        <v>8</v>
      </c>
      <c r="E283" s="6" t="str"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9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8"/>
        <v>25</v>
      </c>
      <c r="E284" s="6" t="str">
        <v>Proficient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9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8"/>
        <v>17</v>
      </c>
      <c r="E285" s="6" t="str">
        <v>Proficient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9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8"/>
        <v>9</v>
      </c>
      <c r="E286" s="6" t="str"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9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8"/>
        <v>18</v>
      </c>
      <c r="E287" s="6" t="str">
        <v>Proficient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9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8"/>
        <v>15</v>
      </c>
      <c r="E288" s="6" t="str">
        <v>Proficient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9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8"/>
        <v>16</v>
      </c>
      <c r="E289" s="6" t="str">
        <v>Proficient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9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8"/>
        <v>30</v>
      </c>
      <c r="E290" s="6" t="str">
        <v>Proficient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9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8"/>
        <v>16</v>
      </c>
      <c r="E291" s="6" t="str">
        <v>Proficient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9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8"/>
        <v>12</v>
      </c>
      <c r="E292" s="6" t="str">
        <v>Proficient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9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8"/>
        <v>26</v>
      </c>
      <c r="E293" s="6" t="str">
        <v>Proficient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9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8"/>
        <v>5</v>
      </c>
      <c r="E294" s="6" t="str"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9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8"/>
        <v>30</v>
      </c>
      <c r="E295" s="6" t="str">
        <v>Proficient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9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8"/>
        <v>14</v>
      </c>
      <c r="E296" s="6" t="str">
        <v>Proficient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9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8"/>
        <v>6</v>
      </c>
      <c r="E297" s="6" t="str"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9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8"/>
        <v>16</v>
      </c>
      <c r="E298" s="6" t="str">
        <v>Proficient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9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8"/>
        <v>7</v>
      </c>
      <c r="E299" s="6" t="str"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9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8"/>
        <v>17</v>
      </c>
      <c r="E300" s="6" t="str">
        <v>Proficient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9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8"/>
        <v>30</v>
      </c>
      <c r="E301" s="6" t="str">
        <v>Proficient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9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8"/>
        <v>19</v>
      </c>
      <c r="E302" s="6" t="str">
        <v>Proficient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9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8"/>
        <v>14</v>
      </c>
      <c r="E303" s="6" t="str">
        <v>Proficient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9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8"/>
        <v>13</v>
      </c>
      <c r="E304" s="6" t="str">
        <v>Proficient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9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8"/>
        <v>14</v>
      </c>
      <c r="E305" s="6" t="str">
        <v>Proficient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9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8"/>
        <v>22</v>
      </c>
      <c r="E306" s="6" t="str">
        <v>Proficient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9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8"/>
        <v>18</v>
      </c>
      <c r="E307" s="6" t="str">
        <v>Proficient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9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8"/>
        <v>10</v>
      </c>
      <c r="E308" s="6" t="str"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9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8"/>
        <v>15</v>
      </c>
      <c r="E309" s="6" t="str">
        <v>Proficient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9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8"/>
        <v>21</v>
      </c>
      <c r="E310" s="6" t="str">
        <v>Proficient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9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8"/>
        <v>15</v>
      </c>
      <c r="E311" s="6" t="str">
        <v>Proficient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9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8"/>
        <v>29</v>
      </c>
      <c r="E312" s="6" t="str">
        <v>Proficient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9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8"/>
        <v>23</v>
      </c>
      <c r="E313" s="6" t="str">
        <v>Proficient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9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8"/>
        <v>10</v>
      </c>
      <c r="E314" s="6" t="str"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9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8"/>
        <v>26</v>
      </c>
      <c r="E315" s="6" t="str">
        <v>Proficient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9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8"/>
        <v>14</v>
      </c>
      <c r="E316" s="6" t="str">
        <v>Proficient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9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8"/>
        <v>18</v>
      </c>
      <c r="E317" s="6" t="str">
        <v>Proficient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9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8"/>
        <v>26</v>
      </c>
      <c r="E318" s="6" t="str">
        <v>Proficient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9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8"/>
        <v>20</v>
      </c>
      <c r="E319" s="6" t="str">
        <v>Proficient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9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8"/>
        <v>9</v>
      </c>
      <c r="E320" s="6" t="str"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9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8"/>
        <v>13</v>
      </c>
      <c r="E321" s="6" t="str">
        <v>Proficient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9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8"/>
        <v>9</v>
      </c>
      <c r="E322" s="6" t="str"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9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0">YEAR(C323)-YEAR(B323)</f>
        <v>14</v>
      </c>
      <c r="E323" s="6" t="str">
        <v>Proficient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1">IF(OR(L323="Retirement",L323="Resignation"),"Voluntary","Involuntary")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0"/>
        <v>23</v>
      </c>
      <c r="E324" s="6" t="str">
        <v>Proficient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1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0"/>
        <v>15</v>
      </c>
      <c r="E325" s="6" t="str">
        <v>Proficient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1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0"/>
        <v>9</v>
      </c>
      <c r="E326" s="6" t="str"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1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0"/>
        <v>24</v>
      </c>
      <c r="E327" s="6" t="str">
        <v>Proficient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1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0"/>
        <v>29</v>
      </c>
      <c r="E328" s="6" t="str">
        <v>Proficient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1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0"/>
        <v>29</v>
      </c>
      <c r="E329" s="6" t="str">
        <v>Proficient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1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0"/>
        <v>11</v>
      </c>
      <c r="E330" s="6" t="str">
        <v>Proficient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1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0"/>
        <v>8</v>
      </c>
      <c r="E331" s="6" t="str"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1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0"/>
        <v>14</v>
      </c>
      <c r="E332" s="6" t="str">
        <v>Proficient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1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0"/>
        <v>26</v>
      </c>
      <c r="E333" s="6" t="str">
        <v>Proficient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1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0"/>
        <v>18</v>
      </c>
      <c r="E334" s="6" t="str">
        <v>Proficient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1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0"/>
        <v>17</v>
      </c>
      <c r="E335" s="6" t="str">
        <v>Proficient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1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0"/>
        <v>24</v>
      </c>
      <c r="E336" s="6" t="str">
        <v>Proficient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1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0"/>
        <v>24</v>
      </c>
      <c r="E337" s="6" t="str">
        <v>Proficient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1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0"/>
        <v>25</v>
      </c>
      <c r="E338" s="6" t="str">
        <v>Proficient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1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0"/>
        <v>28</v>
      </c>
      <c r="E339" s="6" t="str">
        <v>Proficient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1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0"/>
        <v>17</v>
      </c>
      <c r="E340" s="6" t="str">
        <v>Proficient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1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0"/>
        <v>19</v>
      </c>
      <c r="E341" s="6" t="str">
        <v>Proficient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1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0"/>
        <v>5</v>
      </c>
      <c r="E342" s="6" t="str"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1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0"/>
        <v>18</v>
      </c>
      <c r="E343" s="6" t="str">
        <v>Proficient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1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0"/>
        <v>16</v>
      </c>
      <c r="E344" s="6" t="str">
        <v>Proficient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1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0"/>
        <v>18</v>
      </c>
      <c r="E345" s="6" t="str">
        <v>Proficient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1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0"/>
        <v>5</v>
      </c>
      <c r="E346" s="6" t="str"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1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0"/>
        <v>27</v>
      </c>
      <c r="E347" s="6" t="str">
        <v>Proficient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1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0"/>
        <v>21</v>
      </c>
      <c r="E348" s="6" t="str">
        <v>Proficient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1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0"/>
        <v>18</v>
      </c>
      <c r="E349" s="6" t="str">
        <v>Proficient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1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0"/>
        <v>14</v>
      </c>
      <c r="E350" s="6" t="str">
        <v>Proficient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1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0"/>
        <v>18</v>
      </c>
      <c r="E351" s="6" t="str">
        <v>Proficient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1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0"/>
        <v>10</v>
      </c>
      <c r="E352" s="6" t="str"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1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0"/>
        <v>17</v>
      </c>
      <c r="E353" s="6" t="str">
        <v>Proficient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1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0"/>
        <v>10</v>
      </c>
      <c r="E354" s="6" t="str"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1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0"/>
        <v>20</v>
      </c>
      <c r="E355" s="6" t="str">
        <v>Proficient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1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0"/>
        <v>19</v>
      </c>
      <c r="E356" s="6" t="str">
        <v>Proficient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1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0"/>
        <v>5</v>
      </c>
      <c r="E357" s="6" t="str"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1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0"/>
        <v>27</v>
      </c>
      <c r="E358" s="6" t="str">
        <v>Proficient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1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0"/>
        <v>13</v>
      </c>
      <c r="E359" s="6" t="str">
        <v>Proficient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1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0"/>
        <v>6</v>
      </c>
      <c r="E360" s="6" t="str"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1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0"/>
        <v>24</v>
      </c>
      <c r="E361" s="6" t="str">
        <v>Proficient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1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0"/>
        <v>8</v>
      </c>
      <c r="E362" s="6" t="str"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1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0"/>
        <v>9</v>
      </c>
      <c r="E363" s="6" t="str"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1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0"/>
        <v>27</v>
      </c>
      <c r="E364" s="6" t="str">
        <v>Proficient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1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0"/>
        <v>25</v>
      </c>
      <c r="E365" s="6" t="str">
        <v>Proficient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1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0"/>
        <v>30</v>
      </c>
      <c r="E366" s="6" t="str">
        <v>Proficient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1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0"/>
        <v>30</v>
      </c>
      <c r="E367" s="6" t="str">
        <v>Proficient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1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0"/>
        <v>10</v>
      </c>
      <c r="E368" s="6" t="str"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1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0"/>
        <v>17</v>
      </c>
      <c r="E369" s="6" t="str">
        <v>Proficient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1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0"/>
        <v>11</v>
      </c>
      <c r="E370" s="6" t="str">
        <v>Proficient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1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0"/>
        <v>22</v>
      </c>
      <c r="E371" s="6" t="str">
        <v>Proficient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1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0"/>
        <v>24</v>
      </c>
      <c r="E372" s="6" t="str">
        <v>Proficient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1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0"/>
        <v>24</v>
      </c>
      <c r="E373" s="6" t="str">
        <v>Proficient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1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0"/>
        <v>24</v>
      </c>
      <c r="E374" s="6" t="str">
        <v>Proficient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1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0"/>
        <v>22</v>
      </c>
      <c r="E375" s="6" t="str">
        <v>Proficient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1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0"/>
        <v>18</v>
      </c>
      <c r="E376" s="6" t="str">
        <v>Proficient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1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0"/>
        <v>25</v>
      </c>
      <c r="E377" s="6" t="str">
        <v>Proficient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1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0"/>
        <v>8</v>
      </c>
      <c r="E378" s="6" t="str"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1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0"/>
        <v>24</v>
      </c>
      <c r="E379" s="6" t="str">
        <v>Proficient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1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0"/>
        <v>9</v>
      </c>
      <c r="E380" s="6" t="str"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1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0"/>
        <v>14</v>
      </c>
      <c r="E381" s="6" t="str">
        <v>Proficient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1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0"/>
        <v>24</v>
      </c>
      <c r="E382" s="6" t="str">
        <v>Proficient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1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0"/>
        <v>17</v>
      </c>
      <c r="E383" s="6" t="str">
        <v>Proficient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1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0"/>
        <v>18</v>
      </c>
      <c r="E384" s="6" t="str">
        <v>Proficient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1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0"/>
        <v>28</v>
      </c>
      <c r="E385" s="6" t="str">
        <v>Proficient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1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0"/>
        <v>14</v>
      </c>
      <c r="E386" s="6" t="str">
        <v>Proficient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1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2">YEAR(C387)-YEAR(B387)</f>
        <v>26</v>
      </c>
      <c r="E387" s="6" t="str">
        <v>Proficient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13">IF(OR(L387="Retirement",L387="Resignation"),"Voluntary","Involuntary")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2"/>
        <v>29</v>
      </c>
      <c r="E388" s="6" t="str">
        <v>Proficient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13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2"/>
        <v>22</v>
      </c>
      <c r="E389" s="6" t="str">
        <v>Proficient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13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2"/>
        <v>17</v>
      </c>
      <c r="E390" s="6" t="str">
        <v>Proficient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13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2"/>
        <v>9</v>
      </c>
      <c r="E391" s="6" t="str"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13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2"/>
        <v>28</v>
      </c>
      <c r="E392" s="6" t="str">
        <v>Proficient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13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2"/>
        <v>18</v>
      </c>
      <c r="E393" s="6" t="str">
        <v>Proficient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13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2"/>
        <v>21</v>
      </c>
      <c r="E394" s="6" t="str">
        <v>Proficient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13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2"/>
        <v>5</v>
      </c>
      <c r="E395" s="6" t="str"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13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2"/>
        <v>26</v>
      </c>
      <c r="E396" s="6" t="str">
        <v>Proficient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13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2"/>
        <v>27</v>
      </c>
      <c r="E397" s="6" t="str">
        <v>Proficient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13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2"/>
        <v>9</v>
      </c>
      <c r="E398" s="6" t="str"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13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2"/>
        <v>12</v>
      </c>
      <c r="E399" s="6" t="str">
        <v>Proficient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13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2"/>
        <v>18</v>
      </c>
      <c r="E400" s="6" t="str">
        <v>Proficient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13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2"/>
        <v>23</v>
      </c>
      <c r="E401" s="6" t="str">
        <v>Proficient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13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2"/>
        <v>18</v>
      </c>
      <c r="E402" s="6" t="str">
        <v>Proficient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13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2"/>
        <v>13</v>
      </c>
      <c r="E403" s="6" t="str">
        <v>Proficient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13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2"/>
        <v>10</v>
      </c>
      <c r="E404" s="6" t="str"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13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2"/>
        <v>10</v>
      </c>
      <c r="E405" s="6" t="str"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13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2"/>
        <v>12</v>
      </c>
      <c r="E406" s="6" t="str">
        <v>Proficient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13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2"/>
        <v>15</v>
      </c>
      <c r="E407" s="6" t="str">
        <v>Proficient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13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2"/>
        <v>19</v>
      </c>
      <c r="E408" s="6" t="str">
        <v>Proficient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13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2"/>
        <v>24</v>
      </c>
      <c r="E409" s="6" t="str">
        <v>Proficient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13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2"/>
        <v>20</v>
      </c>
      <c r="E410" s="6" t="str">
        <v>Proficient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13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2"/>
        <v>16</v>
      </c>
      <c r="E411" s="6" t="str">
        <v>Proficient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13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2"/>
        <v>19</v>
      </c>
      <c r="E412" s="6" t="str">
        <v>Proficient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13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2"/>
        <v>7</v>
      </c>
      <c r="E413" s="6" t="str"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13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2"/>
        <v>27</v>
      </c>
      <c r="E414" s="6" t="str">
        <v>Proficient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13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2"/>
        <v>23</v>
      </c>
      <c r="E415" s="6" t="str">
        <v>Proficient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13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2"/>
        <v>17</v>
      </c>
      <c r="E416" s="6" t="str">
        <v>Proficient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13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2"/>
        <v>19</v>
      </c>
      <c r="E417" s="6" t="str">
        <v>Proficient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13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2"/>
        <v>13</v>
      </c>
      <c r="E418" s="6" t="str">
        <v>Proficient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13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2"/>
        <v>25</v>
      </c>
      <c r="E419" s="6" t="str">
        <v>Proficient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13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2"/>
        <v>29</v>
      </c>
      <c r="E420" s="6" t="str">
        <v>Proficient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13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2"/>
        <v>24</v>
      </c>
      <c r="E421" s="6" t="str">
        <v>Proficient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13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2"/>
        <v>24</v>
      </c>
      <c r="E422" s="6" t="str">
        <v>Proficient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13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2"/>
        <v>20</v>
      </c>
      <c r="E423" s="6" t="str">
        <v>Proficient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13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2"/>
        <v>19</v>
      </c>
      <c r="E424" s="6" t="str">
        <v>Proficient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13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2"/>
        <v>7</v>
      </c>
      <c r="E425" s="6" t="str"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13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2"/>
        <v>26</v>
      </c>
      <c r="E426" s="6" t="str">
        <v>Proficient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13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2"/>
        <v>6</v>
      </c>
      <c r="E427" s="6" t="str"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13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2"/>
        <v>20</v>
      </c>
      <c r="E428" s="6" t="str">
        <v>Proficient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13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2"/>
        <v>26</v>
      </c>
      <c r="E429" s="6" t="str">
        <v>Proficient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13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2"/>
        <v>24</v>
      </c>
      <c r="E430" s="6" t="str">
        <v>Proficient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13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2"/>
        <v>9</v>
      </c>
      <c r="E431" s="6" t="str"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13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2"/>
        <v>14</v>
      </c>
      <c r="E432" s="6" t="str">
        <v>Proficient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13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2"/>
        <v>27</v>
      </c>
      <c r="E433" s="6" t="str">
        <v>Proficient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13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2"/>
        <v>25</v>
      </c>
      <c r="E434" s="6" t="str">
        <v>Proficient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13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2"/>
        <v>6</v>
      </c>
      <c r="E435" s="6" t="str"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13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2"/>
        <v>24</v>
      </c>
      <c r="E436" s="6" t="str">
        <v>Proficient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13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2"/>
        <v>15</v>
      </c>
      <c r="E437" s="6" t="str">
        <v>Proficient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13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2"/>
        <v>15</v>
      </c>
      <c r="E438" s="6" t="str">
        <v>Proficient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13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2"/>
        <v>6</v>
      </c>
      <c r="E439" s="6" t="str"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13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2"/>
        <v>22</v>
      </c>
      <c r="E440" s="6" t="str">
        <v>Proficient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13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2"/>
        <v>24</v>
      </c>
      <c r="E441" s="6" t="str">
        <v>Proficient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13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2"/>
        <v>23</v>
      </c>
      <c r="E442" s="6" t="str">
        <v>Proficient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13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2"/>
        <v>24</v>
      </c>
      <c r="E443" s="6" t="str">
        <v>Proficient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13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2"/>
        <v>9</v>
      </c>
      <c r="E444" s="6" t="str"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13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2"/>
        <v>29</v>
      </c>
      <c r="E445" s="6" t="str">
        <v>Proficient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13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2"/>
        <v>21</v>
      </c>
      <c r="E446" s="6" t="str">
        <v>Proficient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13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2"/>
        <v>7</v>
      </c>
      <c r="E447" s="6" t="str"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13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2"/>
        <v>27</v>
      </c>
      <c r="E448" s="6" t="str">
        <v>Proficient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13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2"/>
        <v>12</v>
      </c>
      <c r="E449" s="6" t="str">
        <v>Proficient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13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2"/>
        <v>29</v>
      </c>
      <c r="E450" s="6" t="str">
        <v>Proficient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13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14">YEAR(C451)-YEAR(B451)</f>
        <v>11</v>
      </c>
      <c r="E451" s="6" t="str">
        <v>Proficient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15">IF(OR(L451="Retirement",L451="Resignation"),"Voluntary","Involuntary")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14"/>
        <v>29</v>
      </c>
      <c r="E452" s="6" t="str">
        <v>Proficient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15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14"/>
        <v>8</v>
      </c>
      <c r="E453" s="6" t="str"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15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14"/>
        <v>17</v>
      </c>
      <c r="E454" s="6" t="str">
        <v>Proficient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15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14"/>
        <v>23</v>
      </c>
      <c r="E455" s="6" t="str">
        <v>Proficient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15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14"/>
        <v>19</v>
      </c>
      <c r="E456" s="6" t="str">
        <v>Proficient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15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14"/>
        <v>19</v>
      </c>
      <c r="E457" s="6" t="str">
        <v>Proficient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15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14"/>
        <v>22</v>
      </c>
      <c r="E458" s="6" t="str">
        <v>Proficient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15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14"/>
        <v>15</v>
      </c>
      <c r="E459" s="6" t="str">
        <v>Proficient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15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14"/>
        <v>30</v>
      </c>
      <c r="E460" s="6" t="str">
        <v>Proficient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15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14"/>
        <v>14</v>
      </c>
      <c r="E461" s="6" t="str">
        <v>Proficient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15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14"/>
        <v>6</v>
      </c>
      <c r="E462" s="6" t="str"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15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14"/>
        <v>20</v>
      </c>
      <c r="E463" s="6" t="str">
        <v>Proficient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15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14"/>
        <v>25</v>
      </c>
      <c r="E464" s="6" t="str">
        <v>Proficient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15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14"/>
        <v>10</v>
      </c>
      <c r="E465" s="6" t="str"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15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14"/>
        <v>12</v>
      </c>
      <c r="E466" s="6" t="str">
        <v>Proficient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15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14"/>
        <v>29</v>
      </c>
      <c r="E467" s="6" t="str">
        <v>Proficient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15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14"/>
        <v>6</v>
      </c>
      <c r="E468" s="6" t="str"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15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14"/>
        <v>27</v>
      </c>
      <c r="E469" s="6" t="str">
        <v>Proficient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15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14"/>
        <v>19</v>
      </c>
      <c r="E470" s="6" t="str">
        <v>Proficient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15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14"/>
        <v>15</v>
      </c>
      <c r="E471" s="6" t="str">
        <v>Proficient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15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14"/>
        <v>26</v>
      </c>
      <c r="E472" s="6" t="str">
        <v>Proficient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15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14"/>
        <v>7</v>
      </c>
      <c r="E473" s="6" t="str"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15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14"/>
        <v>10</v>
      </c>
      <c r="E474" s="6" t="str"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15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14"/>
        <v>10</v>
      </c>
      <c r="E475" s="6" t="str"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15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14"/>
        <v>18</v>
      </c>
      <c r="E476" s="6" t="str">
        <v>Proficient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15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14"/>
        <v>13</v>
      </c>
      <c r="E477" s="6" t="str">
        <v>Proficient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15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14"/>
        <v>6</v>
      </c>
      <c r="E478" s="6" t="str"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15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14"/>
        <v>23</v>
      </c>
      <c r="E479" s="6" t="str">
        <v>Proficient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15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14"/>
        <v>8</v>
      </c>
      <c r="E480" s="6" t="str"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15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14"/>
        <v>21</v>
      </c>
      <c r="E481" s="6" t="str">
        <v>Proficient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15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14"/>
        <v>9</v>
      </c>
      <c r="E482" s="6" t="str"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15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14"/>
        <v>19</v>
      </c>
      <c r="E483" s="6" t="str">
        <v>Proficient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15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14"/>
        <v>18</v>
      </c>
      <c r="E484" s="6" t="str">
        <v>Proficient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15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14"/>
        <v>27</v>
      </c>
      <c r="E485" s="6" t="str">
        <v>Proficient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15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14"/>
        <v>7</v>
      </c>
      <c r="E486" s="6" t="str"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15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14"/>
        <v>20</v>
      </c>
      <c r="E487" s="6" t="str">
        <v>Proficient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15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14"/>
        <v>11</v>
      </c>
      <c r="E488" s="6" t="str">
        <v>Proficient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15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14"/>
        <v>8</v>
      </c>
      <c r="E489" s="6" t="str"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15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14"/>
        <v>16</v>
      </c>
      <c r="E490" s="6" t="str">
        <v>Proficient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15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14"/>
        <v>6</v>
      </c>
      <c r="E491" s="6" t="str"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15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14"/>
        <v>19</v>
      </c>
      <c r="E492" s="6" t="str">
        <v>Proficient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15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14"/>
        <v>24</v>
      </c>
      <c r="E493" s="6" t="str">
        <v>Proficient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15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14"/>
        <v>15</v>
      </c>
      <c r="E494" s="6" t="str">
        <v>Proficient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15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14"/>
        <v>19</v>
      </c>
      <c r="E495" s="6" t="str">
        <v>Proficient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15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14"/>
        <v>8</v>
      </c>
      <c r="E496" s="6" t="str"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15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14"/>
        <v>5</v>
      </c>
      <c r="E497" s="6" t="str"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15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14"/>
        <v>16</v>
      </c>
      <c r="E498" s="6" t="str">
        <v>Proficient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15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14"/>
        <v>21</v>
      </c>
      <c r="E499" s="6" t="str">
        <v>Proficient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15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14"/>
        <v>6</v>
      </c>
      <c r="E500" s="6" t="str"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15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14"/>
        <v>12</v>
      </c>
      <c r="E501" s="6" t="str">
        <v>Proficient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15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14"/>
        <v>11</v>
      </c>
      <c r="E502" s="6" t="str">
        <v>Proficient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15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14"/>
        <v>25</v>
      </c>
      <c r="E503" s="6" t="str">
        <v>Proficient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15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14"/>
        <v>18</v>
      </c>
      <c r="E504" s="6" t="str">
        <v>Proficient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15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14"/>
        <v>13</v>
      </c>
      <c r="E505" s="6" t="str">
        <v>Proficient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15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14"/>
        <v>16</v>
      </c>
      <c r="E506" s="6" t="str">
        <v>Proficient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15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14"/>
        <v>5</v>
      </c>
      <c r="E507" s="6" t="str"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15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14"/>
        <v>13</v>
      </c>
      <c r="E508" s="6" t="str">
        <v>Proficient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15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14"/>
        <v>10</v>
      </c>
      <c r="E509" s="6" t="str"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15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14"/>
        <v>27</v>
      </c>
      <c r="E510" s="6" t="str">
        <v>Proficient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15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14"/>
        <v>15</v>
      </c>
      <c r="E511" s="6" t="str">
        <v>Proficient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15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14"/>
        <v>28</v>
      </c>
      <c r="E512" s="6" t="str">
        <v>Proficient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15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14"/>
        <v>28</v>
      </c>
      <c r="E513" s="6" t="str">
        <v>Proficient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15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14"/>
        <v>21</v>
      </c>
      <c r="E514" s="6" t="str">
        <v>Proficient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15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16">YEAR(C515)-YEAR(B515)</f>
        <v>9</v>
      </c>
      <c r="E515" s="6" t="str"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17">IF(OR(L515="Retirement",L515="Resignation"),"Voluntary","Involuntary")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16"/>
        <v>8</v>
      </c>
      <c r="E516" s="6" t="str"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17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16"/>
        <v>23</v>
      </c>
      <c r="E517" s="6" t="str">
        <v>Proficient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17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16"/>
        <v>6</v>
      </c>
      <c r="E518" s="6" t="str"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17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16"/>
        <v>6</v>
      </c>
      <c r="E519" s="6" t="str"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17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16"/>
        <v>12</v>
      </c>
      <c r="E520" s="6" t="str">
        <v>Proficient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17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16"/>
        <v>30</v>
      </c>
      <c r="E521" s="6" t="str">
        <v>Proficient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17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16"/>
        <v>30</v>
      </c>
      <c r="E522" s="6" t="str">
        <v>Proficient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17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16"/>
        <v>8</v>
      </c>
      <c r="E523" s="6" t="str"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17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16"/>
        <v>5</v>
      </c>
      <c r="E524" s="6" t="str"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17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16"/>
        <v>26</v>
      </c>
      <c r="E525" s="6" t="str">
        <v>Proficient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17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16"/>
        <v>24</v>
      </c>
      <c r="E526" s="6" t="str">
        <v>Proficient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17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16"/>
        <v>17</v>
      </c>
      <c r="E527" s="6" t="str">
        <v>Proficient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17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16"/>
        <v>14</v>
      </c>
      <c r="E528" s="6" t="str">
        <v>Proficient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17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16"/>
        <v>12</v>
      </c>
      <c r="E529" s="6" t="str">
        <v>Proficient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17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16"/>
        <v>7</v>
      </c>
      <c r="E530" s="6" t="str"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17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16"/>
        <v>26</v>
      </c>
      <c r="E531" s="6" t="str">
        <v>Proficient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17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16"/>
        <v>9</v>
      </c>
      <c r="E532" s="6" t="str"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17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16"/>
        <v>5</v>
      </c>
      <c r="E533" s="6" t="str"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17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16"/>
        <v>28</v>
      </c>
      <c r="E534" s="6" t="str">
        <v>Proficient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17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16"/>
        <v>27</v>
      </c>
      <c r="E535" s="6" t="str">
        <v>Proficient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17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16"/>
        <v>8</v>
      </c>
      <c r="E536" s="6" t="str"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17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16"/>
        <v>13</v>
      </c>
      <c r="E537" s="6" t="str">
        <v>Proficient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17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16"/>
        <v>27</v>
      </c>
      <c r="E538" s="6" t="str">
        <v>Proficient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17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16"/>
        <v>11</v>
      </c>
      <c r="E539" s="6" t="str">
        <v>Proficient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17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16"/>
        <v>11</v>
      </c>
      <c r="E540" s="6" t="str">
        <v>Proficient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17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16"/>
        <v>9</v>
      </c>
      <c r="E541" s="6" t="str"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17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16"/>
        <v>22</v>
      </c>
      <c r="E542" s="6" t="str">
        <v>Proficient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17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16"/>
        <v>7</v>
      </c>
      <c r="E543" s="6" t="str"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17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16"/>
        <v>12</v>
      </c>
      <c r="E544" s="6" t="str">
        <v>Proficient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17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16"/>
        <v>16</v>
      </c>
      <c r="E545" s="6" t="str">
        <v>Proficient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17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16"/>
        <v>16</v>
      </c>
      <c r="E546" s="6" t="str">
        <v>Proficient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17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16"/>
        <v>6</v>
      </c>
      <c r="E547" s="6" t="str"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17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16"/>
        <v>20</v>
      </c>
      <c r="E548" s="6" t="str">
        <v>Proficient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17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16"/>
        <v>29</v>
      </c>
      <c r="E549" s="6" t="str">
        <v>Proficient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17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16"/>
        <v>15</v>
      </c>
      <c r="E550" s="6" t="str">
        <v>Proficient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17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16"/>
        <v>6</v>
      </c>
      <c r="E551" s="6" t="str"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17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16"/>
        <v>26</v>
      </c>
      <c r="E552" s="6" t="str">
        <v>Proficient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17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16"/>
        <v>16</v>
      </c>
      <c r="E553" s="6" t="str">
        <v>Proficient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17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16"/>
        <v>11</v>
      </c>
      <c r="E554" s="6" t="str">
        <v>Proficient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17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16"/>
        <v>23</v>
      </c>
      <c r="E555" s="6" t="str">
        <v>Proficient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17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16"/>
        <v>30</v>
      </c>
      <c r="E556" s="6" t="str">
        <v>Proficient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17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16"/>
        <v>11</v>
      </c>
      <c r="E557" s="6" t="str">
        <v>Proficient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17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16"/>
        <v>30</v>
      </c>
      <c r="E558" s="6" t="str">
        <v>Proficient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17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16"/>
        <v>23</v>
      </c>
      <c r="E559" s="6" t="str">
        <v>Proficient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17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16"/>
        <v>23</v>
      </c>
      <c r="E560" s="6" t="str">
        <v>Proficient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17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16"/>
        <v>23</v>
      </c>
      <c r="E561" s="6" t="str">
        <v>Proficient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17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16"/>
        <v>27</v>
      </c>
      <c r="E562" s="6" t="str">
        <v>Proficient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17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16"/>
        <v>26</v>
      </c>
      <c r="E563" s="6" t="str">
        <v>Proficient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17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16"/>
        <v>24</v>
      </c>
      <c r="E564" s="6" t="str">
        <v>Proficient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17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16"/>
        <v>25</v>
      </c>
      <c r="E565" s="6" t="str">
        <v>Proficient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17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16"/>
        <v>12</v>
      </c>
      <c r="E566" s="6" t="str">
        <v>Proficient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17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16"/>
        <v>17</v>
      </c>
      <c r="E567" s="6" t="str">
        <v>Proficient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17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16"/>
        <v>9</v>
      </c>
      <c r="E568" s="6" t="str"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17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16"/>
        <v>21</v>
      </c>
      <c r="E569" s="6" t="str">
        <v>Proficient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17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16"/>
        <v>9</v>
      </c>
      <c r="E570" s="6" t="str"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17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16"/>
        <v>13</v>
      </c>
      <c r="E571" s="6" t="str">
        <v>Proficient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17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16"/>
        <v>5</v>
      </c>
      <c r="E572" s="6" t="str"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17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16"/>
        <v>28</v>
      </c>
      <c r="E573" s="6" t="str">
        <v>Proficient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17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16"/>
        <v>18</v>
      </c>
      <c r="E574" s="6" t="str">
        <v>Proficient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17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16"/>
        <v>5</v>
      </c>
      <c r="E575" s="6" t="str"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17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16"/>
        <v>5</v>
      </c>
      <c r="E576" s="6" t="str"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17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16"/>
        <v>5</v>
      </c>
      <c r="E577" s="6" t="str"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17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16"/>
        <v>23</v>
      </c>
      <c r="E578" s="6" t="str">
        <v>Proficient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17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18">YEAR(C579)-YEAR(B579)</f>
        <v>27</v>
      </c>
      <c r="E579" s="6" t="str">
        <v>Proficient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19">IF(OR(L579="Retirement",L579="Resignation"),"Voluntary","Involuntary")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18"/>
        <v>9</v>
      </c>
      <c r="E580" s="6" t="str"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1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18"/>
        <v>27</v>
      </c>
      <c r="E581" s="6" t="str">
        <v>Proficient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1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18"/>
        <v>10</v>
      </c>
      <c r="E582" s="6" t="str"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1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18"/>
        <v>9</v>
      </c>
      <c r="E583" s="6" t="str"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1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18"/>
        <v>22</v>
      </c>
      <c r="E584" s="6" t="str">
        <v>Proficient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1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18"/>
        <v>6</v>
      </c>
      <c r="E585" s="6" t="str"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1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18"/>
        <v>27</v>
      </c>
      <c r="E586" s="6" t="str">
        <v>Proficient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1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18"/>
        <v>10</v>
      </c>
      <c r="E587" s="6" t="str"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1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18"/>
        <v>13</v>
      </c>
      <c r="E588" s="6" t="str">
        <v>Proficient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1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18"/>
        <v>9</v>
      </c>
      <c r="E589" s="6" t="str"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1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18"/>
        <v>11</v>
      </c>
      <c r="E590" s="6" t="str">
        <v>Proficient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1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18"/>
        <v>13</v>
      </c>
      <c r="E591" s="6" t="str">
        <v>Proficient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1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18"/>
        <v>20</v>
      </c>
      <c r="E592" s="6" t="str">
        <v>Proficient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1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18"/>
        <v>15</v>
      </c>
      <c r="E593" s="6" t="str">
        <v>Proficient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1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18"/>
        <v>25</v>
      </c>
      <c r="E594" s="6" t="str">
        <v>Proficient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1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18"/>
        <v>14</v>
      </c>
      <c r="E595" s="6" t="str">
        <v>Proficient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1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18"/>
        <v>30</v>
      </c>
      <c r="E596" s="6" t="str">
        <v>Proficient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1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18"/>
        <v>8</v>
      </c>
      <c r="E597" s="6" t="str"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1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18"/>
        <v>13</v>
      </c>
      <c r="E598" s="6" t="str">
        <v>Proficient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1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18"/>
        <v>5</v>
      </c>
      <c r="E599" s="6" t="str"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1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18"/>
        <v>10</v>
      </c>
      <c r="E600" s="6" t="str"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1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18"/>
        <v>11</v>
      </c>
      <c r="E601" s="6" t="str">
        <v>Proficient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1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18"/>
        <v>15</v>
      </c>
      <c r="E602" s="6" t="str">
        <v>Proficient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1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18"/>
        <v>28</v>
      </c>
      <c r="E603" s="6" t="str">
        <v>Proficient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1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18"/>
        <v>24</v>
      </c>
      <c r="E604" s="6" t="str">
        <v>Proficient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1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18"/>
        <v>20</v>
      </c>
      <c r="E605" s="6" t="str">
        <v>Proficient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1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18"/>
        <v>23</v>
      </c>
      <c r="E606" s="6" t="str">
        <v>Proficient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1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18"/>
        <v>23</v>
      </c>
      <c r="E607" s="6" t="str">
        <v>Proficient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1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18"/>
        <v>23</v>
      </c>
      <c r="E608" s="6" t="str">
        <v>Proficient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1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18"/>
        <v>19</v>
      </c>
      <c r="E609" s="6" t="str">
        <v>Proficient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1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18"/>
        <v>24</v>
      </c>
      <c r="E610" s="6" t="str">
        <v>Proficient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1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18"/>
        <v>21</v>
      </c>
      <c r="E611" s="6" t="str">
        <v>Proficient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1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18"/>
        <v>6</v>
      </c>
      <c r="E612" s="6" t="str"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1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18"/>
        <v>24</v>
      </c>
      <c r="E613" s="6" t="str">
        <v>Proficient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1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18"/>
        <v>22</v>
      </c>
      <c r="E614" s="6" t="str">
        <v>Proficient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1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18"/>
        <v>10</v>
      </c>
      <c r="E615" s="6" t="str"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1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18"/>
        <v>22</v>
      </c>
      <c r="E616" s="6" t="str">
        <v>Proficient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1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18"/>
        <v>15</v>
      </c>
      <c r="E617" s="6" t="str">
        <v>Proficient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1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18"/>
        <v>10</v>
      </c>
      <c r="E618" s="6" t="str"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1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18"/>
        <v>27</v>
      </c>
      <c r="E619" s="6" t="str">
        <v>Proficient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1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18"/>
        <v>7</v>
      </c>
      <c r="E620" s="6" t="str"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1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18"/>
        <v>10</v>
      </c>
      <c r="E621" s="6" t="str"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1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18"/>
        <v>22</v>
      </c>
      <c r="E622" s="6" t="str">
        <v>Proficient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1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18"/>
        <v>10</v>
      </c>
      <c r="E623" s="6" t="str"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1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18"/>
        <v>26</v>
      </c>
      <c r="E624" s="6" t="str">
        <v>Proficient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1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18"/>
        <v>13</v>
      </c>
      <c r="E625" s="6" t="str">
        <v>Proficient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1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18"/>
        <v>10</v>
      </c>
      <c r="E626" s="6" t="str"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1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18"/>
        <v>30</v>
      </c>
      <c r="E627" s="6" t="str">
        <v>Proficient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1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18"/>
        <v>12</v>
      </c>
      <c r="E628" s="6" t="str">
        <v>Proficient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1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18"/>
        <v>15</v>
      </c>
      <c r="E629" s="6" t="str">
        <v>Proficient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1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18"/>
        <v>7</v>
      </c>
      <c r="E630" s="6" t="str"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1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18"/>
        <v>14</v>
      </c>
      <c r="E631" s="6" t="str">
        <v>Proficient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1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18"/>
        <v>19</v>
      </c>
      <c r="E632" s="6" t="str">
        <v>Proficient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1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18"/>
        <v>7</v>
      </c>
      <c r="E633" s="6" t="str"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1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18"/>
        <v>20</v>
      </c>
      <c r="E634" s="6" t="str">
        <v>Proficient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1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18"/>
        <v>19</v>
      </c>
      <c r="E635" s="6" t="str">
        <v>Proficient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1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18"/>
        <v>21</v>
      </c>
      <c r="E636" s="6" t="str">
        <v>Proficient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1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18"/>
        <v>17</v>
      </c>
      <c r="E637" s="6" t="str">
        <v>Proficient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1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18"/>
        <v>26</v>
      </c>
      <c r="E638" s="6" t="str">
        <v>Proficient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1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18"/>
        <v>21</v>
      </c>
      <c r="E639" s="6" t="str">
        <v>Proficient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1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18"/>
        <v>26</v>
      </c>
      <c r="E640" s="6" t="str">
        <v>Proficient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1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18"/>
        <v>25</v>
      </c>
      <c r="E641" s="6" t="str">
        <v>Proficient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1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18"/>
        <v>13</v>
      </c>
      <c r="E642" s="6" t="str">
        <v>Proficient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1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20">YEAR(C643)-YEAR(B643)</f>
        <v>24</v>
      </c>
      <c r="E643" s="6" t="str">
        <v>Proficient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21">IF(OR(L643="Retirement",L643="Resignation"),"Voluntary","Involuntary")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20"/>
        <v>25</v>
      </c>
      <c r="E644" s="6" t="str">
        <v>Proficient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21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20"/>
        <v>30</v>
      </c>
      <c r="E645" s="6" t="str">
        <v>Proficient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21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20"/>
        <v>17</v>
      </c>
      <c r="E646" s="6" t="str">
        <v>Proficient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21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20"/>
        <v>24</v>
      </c>
      <c r="E647" s="6" t="str">
        <v>Proficient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21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20"/>
        <v>25</v>
      </c>
      <c r="E648" s="6" t="str">
        <v>Proficient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21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20"/>
        <v>10</v>
      </c>
      <c r="E649" s="6" t="str"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21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20"/>
        <v>11</v>
      </c>
      <c r="E650" s="6" t="str">
        <v>Proficient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21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20"/>
        <v>24</v>
      </c>
      <c r="E651" s="6" t="str">
        <v>Proficient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21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20"/>
        <v>20</v>
      </c>
      <c r="E652" s="6" t="str">
        <v>Proficient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21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20"/>
        <v>18</v>
      </c>
      <c r="E653" s="6" t="str">
        <v>Proficient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21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20"/>
        <v>7</v>
      </c>
      <c r="E654" s="6" t="str"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21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20"/>
        <v>14</v>
      </c>
      <c r="E655" s="6" t="str">
        <v>Proficient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21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20"/>
        <v>20</v>
      </c>
      <c r="E656" s="6" t="str">
        <v>Proficient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21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20"/>
        <v>29</v>
      </c>
      <c r="E657" s="6" t="str">
        <v>Proficient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21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20"/>
        <v>7</v>
      </c>
      <c r="E658" s="6" t="str"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21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20"/>
        <v>21</v>
      </c>
      <c r="E659" s="6" t="str">
        <v>Proficient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21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20"/>
        <v>23</v>
      </c>
      <c r="E660" s="6" t="str">
        <v>Proficient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21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20"/>
        <v>11</v>
      </c>
      <c r="E661" s="6" t="str">
        <v>Proficient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21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20"/>
        <v>8</v>
      </c>
      <c r="E662" s="6" t="str"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21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20"/>
        <v>8</v>
      </c>
      <c r="E663" s="6" t="str"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21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20"/>
        <v>6</v>
      </c>
      <c r="E664" s="6" t="str"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21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20"/>
        <v>11</v>
      </c>
      <c r="E665" s="6" t="str">
        <v>Proficient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21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20"/>
        <v>19</v>
      </c>
      <c r="E666" s="6" t="str">
        <v>Proficient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21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20"/>
        <v>12</v>
      </c>
      <c r="E667" s="6" t="str">
        <v>Proficient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21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20"/>
        <v>22</v>
      </c>
      <c r="E668" s="6" t="str">
        <v>Proficient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21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20"/>
        <v>29</v>
      </c>
      <c r="E669" s="6" t="str">
        <v>Proficient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21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20"/>
        <v>6</v>
      </c>
      <c r="E670" s="6" t="str"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21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20"/>
        <v>30</v>
      </c>
      <c r="E671" s="6" t="str">
        <v>Proficient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21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20"/>
        <v>29</v>
      </c>
      <c r="E672" s="6" t="str">
        <v>Proficient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21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20"/>
        <v>15</v>
      </c>
      <c r="E673" s="6" t="str">
        <v>Proficient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21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20"/>
        <v>18</v>
      </c>
      <c r="E674" s="6" t="str">
        <v>Proficient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21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20"/>
        <v>19</v>
      </c>
      <c r="E675" s="6" t="str">
        <v>Proficient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21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20"/>
        <v>21</v>
      </c>
      <c r="E676" s="6" t="str">
        <v>Proficient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21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20"/>
        <v>28</v>
      </c>
      <c r="E677" s="6" t="str">
        <v>Proficient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21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20"/>
        <v>22</v>
      </c>
      <c r="E678" s="6" t="str">
        <v>Proficient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21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20"/>
        <v>17</v>
      </c>
      <c r="E679" s="6" t="str">
        <v>Proficient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21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20"/>
        <v>15</v>
      </c>
      <c r="E680" s="6" t="str">
        <v>Proficient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21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20"/>
        <v>7</v>
      </c>
      <c r="E681" s="6" t="str"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21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20"/>
        <v>15</v>
      </c>
      <c r="E682" s="6" t="str">
        <v>Proficient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21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20"/>
        <v>26</v>
      </c>
      <c r="E683" s="6" t="str">
        <v>Proficient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21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20"/>
        <v>18</v>
      </c>
      <c r="E684" s="6" t="str">
        <v>Proficient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21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20"/>
        <v>24</v>
      </c>
      <c r="E685" s="6" t="str">
        <v>Proficient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21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20"/>
        <v>27</v>
      </c>
      <c r="E686" s="6" t="str">
        <v>Proficient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21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20"/>
        <v>9</v>
      </c>
      <c r="E687" s="6" t="str"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21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20"/>
        <v>18</v>
      </c>
      <c r="E688" s="6" t="str">
        <v>Proficient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21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20"/>
        <v>30</v>
      </c>
      <c r="E689" s="6" t="str">
        <v>Proficient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21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20"/>
        <v>7</v>
      </c>
      <c r="E690" s="6" t="str"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21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20"/>
        <v>22</v>
      </c>
      <c r="E691" s="6" t="str">
        <v>Proficient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21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20"/>
        <v>13</v>
      </c>
      <c r="E692" s="6" t="str">
        <v>Proficient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21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20"/>
        <v>14</v>
      </c>
      <c r="E693" s="6" t="str">
        <v>Proficient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21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20"/>
        <v>28</v>
      </c>
      <c r="E694" s="6" t="str">
        <v>Proficient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21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20"/>
        <v>22</v>
      </c>
      <c r="E695" s="6" t="str">
        <v>Proficient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21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20"/>
        <v>7</v>
      </c>
      <c r="E696" s="6" t="str"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21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20"/>
        <v>30</v>
      </c>
      <c r="E697" s="6" t="str">
        <v>Proficient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21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20"/>
        <v>14</v>
      </c>
      <c r="E698" s="6" t="str">
        <v>Proficient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21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20"/>
        <v>9</v>
      </c>
      <c r="E699" s="6" t="str"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21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20"/>
        <v>20</v>
      </c>
      <c r="E700" s="6" t="str">
        <v>Proficient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21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20"/>
        <v>24</v>
      </c>
      <c r="E701" s="6" t="str">
        <v>Proficient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21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20"/>
        <v>14</v>
      </c>
      <c r="E702" s="6" t="str">
        <v>Proficient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21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20"/>
        <v>30</v>
      </c>
      <c r="E703" s="6" t="str">
        <v>Proficient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21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20"/>
        <v>17</v>
      </c>
      <c r="E704" s="6" t="str">
        <v>Proficient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21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20"/>
        <v>7</v>
      </c>
      <c r="E705" s="6" t="str"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21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20"/>
        <v>21</v>
      </c>
      <c r="E706" s="6" t="str">
        <v>Proficient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21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22">YEAR(C707)-YEAR(B707)</f>
        <v>23</v>
      </c>
      <c r="E707" s="6" t="str">
        <v>Proficient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23">IF(OR(L707="Retirement",L707="Resignation"),"Voluntary","Involuntary")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22"/>
        <v>6</v>
      </c>
      <c r="E708" s="6" t="str"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23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22"/>
        <v>8</v>
      </c>
      <c r="E709" s="6" t="str"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23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22"/>
        <v>24</v>
      </c>
      <c r="E710" s="6" t="str">
        <v>Proficient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23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22"/>
        <v>11</v>
      </c>
      <c r="E711" s="6" t="str">
        <v>Proficient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23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22"/>
        <v>7</v>
      </c>
      <c r="E712" s="6" t="str"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23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22"/>
        <v>12</v>
      </c>
      <c r="E713" s="6" t="str">
        <v>Proficient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23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22"/>
        <v>7</v>
      </c>
      <c r="E714" s="6" t="str"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23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22"/>
        <v>23</v>
      </c>
      <c r="E715" s="6" t="str">
        <v>Proficient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23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22"/>
        <v>17</v>
      </c>
      <c r="E716" s="6" t="str">
        <v>Proficient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23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22"/>
        <v>15</v>
      </c>
      <c r="E717" s="6" t="str">
        <v>Proficient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23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22"/>
        <v>9</v>
      </c>
      <c r="E718" s="6" t="str"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23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22"/>
        <v>24</v>
      </c>
      <c r="E719" s="6" t="str">
        <v>Proficient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23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22"/>
        <v>19</v>
      </c>
      <c r="E720" s="6" t="str">
        <v>Proficient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23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22"/>
        <v>15</v>
      </c>
      <c r="E721" s="6" t="str">
        <v>Proficient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23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22"/>
        <v>16</v>
      </c>
      <c r="E722" s="6" t="str">
        <v>Proficient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23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22"/>
        <v>27</v>
      </c>
      <c r="E723" s="6" t="str">
        <v>Proficient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23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22"/>
        <v>5</v>
      </c>
      <c r="E724" s="6" t="str"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23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22"/>
        <v>25</v>
      </c>
      <c r="E725" s="6" t="str">
        <v>Proficient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23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22"/>
        <v>13</v>
      </c>
      <c r="E726" s="6" t="str">
        <v>Proficient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23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22"/>
        <v>17</v>
      </c>
      <c r="E727" s="6" t="str">
        <v>Proficient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23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22"/>
        <v>24</v>
      </c>
      <c r="E728" s="6" t="str">
        <v>Proficient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23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22"/>
        <v>21</v>
      </c>
      <c r="E729" s="6" t="str">
        <v>Proficient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23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22"/>
        <v>15</v>
      </c>
      <c r="E730" s="6" t="str">
        <v>Proficient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23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22"/>
        <v>21</v>
      </c>
      <c r="E731" s="6" t="str">
        <v>Proficient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23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22"/>
        <v>28</v>
      </c>
      <c r="E732" s="6" t="str">
        <v>Proficient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23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22"/>
        <v>8</v>
      </c>
      <c r="E733" s="6" t="str"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23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22"/>
        <v>18</v>
      </c>
      <c r="E734" s="6" t="str">
        <v>Proficient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23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22"/>
        <v>20</v>
      </c>
      <c r="E735" s="6" t="str">
        <v>Proficient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23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22"/>
        <v>11</v>
      </c>
      <c r="E736" s="6" t="str">
        <v>Proficient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23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22"/>
        <v>15</v>
      </c>
      <c r="E737" s="6" t="str">
        <v>Proficient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23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22"/>
        <v>17</v>
      </c>
      <c r="E738" s="6" t="str">
        <v>Proficient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23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22"/>
        <v>23</v>
      </c>
      <c r="E739" s="6" t="str">
        <v>Proficient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23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22"/>
        <v>20</v>
      </c>
      <c r="E740" s="6" t="str">
        <v>Proficient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23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22"/>
        <v>28</v>
      </c>
      <c r="E741" s="6" t="str">
        <v>Proficient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23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22"/>
        <v>24</v>
      </c>
      <c r="E742" s="6" t="str">
        <v>Proficient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23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22"/>
        <v>28</v>
      </c>
      <c r="E743" s="6" t="str">
        <v>Proficient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23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22"/>
        <v>27</v>
      </c>
      <c r="E744" s="6" t="str">
        <v>Proficient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23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22"/>
        <v>27</v>
      </c>
      <c r="E745" s="6" t="str">
        <v>Proficient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23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22"/>
        <v>17</v>
      </c>
      <c r="E746" s="6" t="str">
        <v>Proficient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23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22"/>
        <v>26</v>
      </c>
      <c r="E747" s="6" t="str">
        <v>Proficient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23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22"/>
        <v>18</v>
      </c>
      <c r="E748" s="6" t="str">
        <v>Proficient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23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22"/>
        <v>29</v>
      </c>
      <c r="E749" s="6" t="str">
        <v>Proficient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23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22"/>
        <v>16</v>
      </c>
      <c r="E750" s="6" t="str">
        <v>Proficient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23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22"/>
        <v>22</v>
      </c>
      <c r="E751" s="6" t="str">
        <v>Proficient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23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22"/>
        <v>7</v>
      </c>
      <c r="E752" s="6" t="str"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23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22"/>
        <v>14</v>
      </c>
      <c r="E753" s="6" t="str">
        <v>Proficient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23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22"/>
        <v>18</v>
      </c>
      <c r="E754" s="6" t="str">
        <v>Proficient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23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22"/>
        <v>13</v>
      </c>
      <c r="E755" s="6" t="str">
        <v>Proficient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23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22"/>
        <v>22</v>
      </c>
      <c r="E756" s="6" t="str">
        <v>Proficient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23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22"/>
        <v>6</v>
      </c>
      <c r="E757" s="6" t="str"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23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22"/>
        <v>20</v>
      </c>
      <c r="E758" s="6" t="str">
        <v>Proficient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23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22"/>
        <v>9</v>
      </c>
      <c r="E759" s="6" t="str"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23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22"/>
        <v>28</v>
      </c>
      <c r="E760" s="6" t="str">
        <v>Proficient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23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22"/>
        <v>25</v>
      </c>
      <c r="E761" s="6" t="str">
        <v>Proficient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23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22"/>
        <v>17</v>
      </c>
      <c r="E762" s="6" t="str">
        <v>Proficient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23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22"/>
        <v>8</v>
      </c>
      <c r="E763" s="6" t="str"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23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22"/>
        <v>7</v>
      </c>
      <c r="E764" s="6" t="str"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23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22"/>
        <v>8</v>
      </c>
      <c r="E765" s="6" t="str"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23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22"/>
        <v>30</v>
      </c>
      <c r="E766" s="6" t="str">
        <v>Proficient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23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22"/>
        <v>22</v>
      </c>
      <c r="E767" s="6" t="str">
        <v>Proficient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23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22"/>
        <v>11</v>
      </c>
      <c r="E768" s="6" t="str">
        <v>Proficient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23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22"/>
        <v>11</v>
      </c>
      <c r="E769" s="6" t="str">
        <v>Proficient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23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22"/>
        <v>7</v>
      </c>
      <c r="E770" s="6" t="str"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23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24">YEAR(C771)-YEAR(B771)</f>
        <v>16</v>
      </c>
      <c r="E771" s="6" t="str">
        <v>Proficient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25">IF(OR(L771="Retirement",L771="Resignation"),"Voluntary","Involuntary")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24"/>
        <v>24</v>
      </c>
      <c r="E772" s="6" t="str">
        <v>Proficient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25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24"/>
        <v>7</v>
      </c>
      <c r="E773" s="6" t="str"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25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24"/>
        <v>25</v>
      </c>
      <c r="E774" s="6" t="str">
        <v>Proficient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25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24"/>
        <v>12</v>
      </c>
      <c r="E775" s="6" t="str">
        <v>Proficient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25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24"/>
        <v>6</v>
      </c>
      <c r="E776" s="6" t="str"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25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24"/>
        <v>22</v>
      </c>
      <c r="E777" s="6" t="str">
        <v>Proficient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25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24"/>
        <v>18</v>
      </c>
      <c r="E778" s="6" t="str">
        <v>Proficient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25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24"/>
        <v>16</v>
      </c>
      <c r="E779" s="6" t="str">
        <v>Proficient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25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24"/>
        <v>7</v>
      </c>
      <c r="E780" s="6" t="str"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25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24"/>
        <v>17</v>
      </c>
      <c r="E781" s="6" t="str">
        <v>Proficient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25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24"/>
        <v>28</v>
      </c>
      <c r="E782" s="6" t="str">
        <v>Proficient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25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24"/>
        <v>26</v>
      </c>
      <c r="E783" s="6" t="str">
        <v>Proficient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25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24"/>
        <v>25</v>
      </c>
      <c r="E784" s="6" t="str">
        <v>Proficient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25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24"/>
        <v>25</v>
      </c>
      <c r="E785" s="6" t="str">
        <v>Proficient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25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24"/>
        <v>17</v>
      </c>
      <c r="E786" s="6" t="str">
        <v>Proficient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25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24"/>
        <v>21</v>
      </c>
      <c r="E787" s="6" t="str">
        <v>Proficient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25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24"/>
        <v>19</v>
      </c>
      <c r="E788" s="6" t="str">
        <v>Proficient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25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24"/>
        <v>22</v>
      </c>
      <c r="E789" s="6" t="str">
        <v>Proficient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25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24"/>
        <v>17</v>
      </c>
      <c r="E790" s="6" t="str">
        <v>Proficient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25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24"/>
        <v>24</v>
      </c>
      <c r="E791" s="6" t="str">
        <v>Proficient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25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24"/>
        <v>8</v>
      </c>
      <c r="E792" s="6" t="str"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25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24"/>
        <v>8</v>
      </c>
      <c r="E793" s="6" t="str"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25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24"/>
        <v>12</v>
      </c>
      <c r="E794" s="6" t="str">
        <v>Proficient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25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24"/>
        <v>28</v>
      </c>
      <c r="E795" s="6" t="str">
        <v>Proficient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25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24"/>
        <v>16</v>
      </c>
      <c r="E796" s="6" t="str">
        <v>Proficient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25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24"/>
        <v>30</v>
      </c>
      <c r="E797" s="6" t="str">
        <v>Proficient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25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24"/>
        <v>5</v>
      </c>
      <c r="E798" s="6" t="str"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25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24"/>
        <v>7</v>
      </c>
      <c r="E799" s="6" t="str"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25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24"/>
        <v>23</v>
      </c>
      <c r="E800" s="6" t="str">
        <v>Proficient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25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24"/>
        <v>7</v>
      </c>
      <c r="E801" s="6" t="str"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25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24"/>
        <v>9</v>
      </c>
      <c r="E802" s="6" t="str"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25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24"/>
        <v>28</v>
      </c>
      <c r="E803" s="6" t="str">
        <v>Proficient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25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24"/>
        <v>10</v>
      </c>
      <c r="E804" s="6" t="str"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25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24"/>
        <v>14</v>
      </c>
      <c r="E805" s="6" t="str">
        <v>Proficient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25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24"/>
        <v>25</v>
      </c>
      <c r="E806" s="6" t="str">
        <v>Proficient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25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24"/>
        <v>16</v>
      </c>
      <c r="E807" s="6" t="str">
        <v>Proficient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25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24"/>
        <v>14</v>
      </c>
      <c r="E808" s="6" t="str">
        <v>Proficient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25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24"/>
        <v>13</v>
      </c>
      <c r="E809" s="6" t="str">
        <v>Proficient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25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24"/>
        <v>8</v>
      </c>
      <c r="E810" s="6" t="str"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25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24"/>
        <v>15</v>
      </c>
      <c r="E811" s="6" t="str">
        <v>Proficient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25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24"/>
        <v>28</v>
      </c>
      <c r="E812" s="6" t="str">
        <v>Proficient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25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24"/>
        <v>19</v>
      </c>
      <c r="E813" s="6" t="str">
        <v>Proficient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25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24"/>
        <v>11</v>
      </c>
      <c r="E814" s="6" t="str">
        <v>Proficient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25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24"/>
        <v>18</v>
      </c>
      <c r="E815" s="6" t="str">
        <v>Proficient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25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24"/>
        <v>6</v>
      </c>
      <c r="E816" s="6" t="str"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25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24"/>
        <v>23</v>
      </c>
      <c r="E817" s="6" t="str">
        <v>Proficient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25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24"/>
        <v>27</v>
      </c>
      <c r="E818" s="6" t="str">
        <v>Proficient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25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24"/>
        <v>14</v>
      </c>
      <c r="E819" s="6" t="str">
        <v>Proficient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25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24"/>
        <v>27</v>
      </c>
      <c r="E820" s="6" t="str">
        <v>Proficient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25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24"/>
        <v>21</v>
      </c>
      <c r="E821" s="6" t="str">
        <v>Proficient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25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24"/>
        <v>21</v>
      </c>
      <c r="E822" s="6" t="str">
        <v>Proficient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25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24"/>
        <v>16</v>
      </c>
      <c r="E823" s="6" t="str">
        <v>Proficient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25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24"/>
        <v>5</v>
      </c>
      <c r="E824" s="6" t="str"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25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24"/>
        <v>22</v>
      </c>
      <c r="E825" s="6" t="str">
        <v>Proficient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25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24"/>
        <v>30</v>
      </c>
      <c r="E826" s="6" t="str">
        <v>Proficient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25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24"/>
        <v>5</v>
      </c>
      <c r="E827" s="6" t="str"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25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24"/>
        <v>23</v>
      </c>
      <c r="E828" s="6" t="str">
        <v>Proficient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25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24"/>
        <v>30</v>
      </c>
      <c r="E829" s="6" t="str">
        <v>Proficient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25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24"/>
        <v>13</v>
      </c>
      <c r="E830" s="6" t="str">
        <v>Proficient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25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24"/>
        <v>16</v>
      </c>
      <c r="E831" s="6" t="str">
        <v>Proficient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25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24"/>
        <v>27</v>
      </c>
      <c r="E832" s="6" t="str">
        <v>Proficient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25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24"/>
        <v>16</v>
      </c>
      <c r="E833" s="6" t="str">
        <v>Proficient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25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24"/>
        <v>26</v>
      </c>
      <c r="E834" s="6" t="str">
        <v>Proficient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25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26">YEAR(C835)-YEAR(B835)</f>
        <v>24</v>
      </c>
      <c r="E835" s="6" t="str">
        <v>Proficient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27">IF(OR(L835="Retirement",L835="Resignation"),"Voluntary","Involuntary")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26"/>
        <v>8</v>
      </c>
      <c r="E836" s="6" t="str"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27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26"/>
        <v>23</v>
      </c>
      <c r="E837" s="6" t="str">
        <v>Proficient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27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26"/>
        <v>11</v>
      </c>
      <c r="E838" s="6" t="str">
        <v>Proficient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27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26"/>
        <v>26</v>
      </c>
      <c r="E839" s="6" t="str">
        <v>Proficient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27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26"/>
        <v>9</v>
      </c>
      <c r="E840" s="6" t="str"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27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26"/>
        <v>6</v>
      </c>
      <c r="E841" s="6" t="str"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27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26"/>
        <v>30</v>
      </c>
      <c r="E842" s="6" t="str">
        <v>Proficient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27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26"/>
        <v>19</v>
      </c>
      <c r="E843" s="6" t="str">
        <v>Proficient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27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26"/>
        <v>11</v>
      </c>
      <c r="E844" s="6" t="str">
        <v>Proficient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27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26"/>
        <v>25</v>
      </c>
      <c r="E845" s="6" t="str">
        <v>Proficient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27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26"/>
        <v>9</v>
      </c>
      <c r="E846" s="6" t="str"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27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26"/>
        <v>28</v>
      </c>
      <c r="E847" s="6" t="str">
        <v>Proficient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27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26"/>
        <v>16</v>
      </c>
      <c r="E848" s="6" t="str">
        <v>Proficient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27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26"/>
        <v>30</v>
      </c>
      <c r="E849" s="6" t="str">
        <v>Proficient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27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26"/>
        <v>15</v>
      </c>
      <c r="E850" s="6" t="str">
        <v>Proficient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27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26"/>
        <v>21</v>
      </c>
      <c r="E851" s="6" t="str">
        <v>Proficient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27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26"/>
        <v>15</v>
      </c>
      <c r="E852" s="6" t="str">
        <v>Proficient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27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26"/>
        <v>20</v>
      </c>
      <c r="E853" s="6" t="str">
        <v>Proficient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27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26"/>
        <v>28</v>
      </c>
      <c r="E854" s="6" t="str">
        <v>Proficient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27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26"/>
        <v>17</v>
      </c>
      <c r="E855" s="6" t="str">
        <v>Proficient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27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26"/>
        <v>15</v>
      </c>
      <c r="E856" s="6" t="str">
        <v>Proficient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27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26"/>
        <v>22</v>
      </c>
      <c r="E857" s="6" t="str">
        <v>Proficient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27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26"/>
        <v>10</v>
      </c>
      <c r="E858" s="6" t="str"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27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26"/>
        <v>10</v>
      </c>
      <c r="E859" s="6" t="str"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27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26"/>
        <v>30</v>
      </c>
      <c r="E860" s="6" t="str">
        <v>Proficient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27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26"/>
        <v>28</v>
      </c>
      <c r="E861" s="6" t="str">
        <v>Proficient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27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26"/>
        <v>8</v>
      </c>
      <c r="E862" s="6" t="str"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27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26"/>
        <v>25</v>
      </c>
      <c r="E863" s="6" t="str">
        <v>Proficient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27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26"/>
        <v>18</v>
      </c>
      <c r="E864" s="6" t="str">
        <v>Proficient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27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26"/>
        <v>21</v>
      </c>
      <c r="E865" s="6" t="str">
        <v>Proficient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27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26"/>
        <v>22</v>
      </c>
      <c r="E866" s="6" t="str">
        <v>Proficient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27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26"/>
        <v>5</v>
      </c>
      <c r="E867" s="6" t="str"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27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26"/>
        <v>18</v>
      </c>
      <c r="E868" s="6" t="str">
        <v>Proficient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27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26"/>
        <v>29</v>
      </c>
      <c r="E869" s="6" t="str">
        <v>Proficient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27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26"/>
        <v>15</v>
      </c>
      <c r="E870" s="6" t="str">
        <v>Proficient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27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26"/>
        <v>5</v>
      </c>
      <c r="E871" s="6" t="str"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27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26"/>
        <v>7</v>
      </c>
      <c r="E872" s="6" t="str"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27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26"/>
        <v>29</v>
      </c>
      <c r="E873" s="6" t="str">
        <v>Proficient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27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26"/>
        <v>13</v>
      </c>
      <c r="E874" s="6" t="str">
        <v>Proficient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27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26"/>
        <v>9</v>
      </c>
      <c r="E875" s="6" t="str"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27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26"/>
        <v>14</v>
      </c>
      <c r="E876" s="6" t="str">
        <v>Proficient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27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26"/>
        <v>26</v>
      </c>
      <c r="E877" s="6" t="str">
        <v>Proficient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27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26"/>
        <v>22</v>
      </c>
      <c r="E878" s="6" t="str">
        <v>Proficient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27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26"/>
        <v>7</v>
      </c>
      <c r="E879" s="6" t="str"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27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26"/>
        <v>22</v>
      </c>
      <c r="E880" s="6" t="str">
        <v>Proficient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27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26"/>
        <v>30</v>
      </c>
      <c r="E881" s="6" t="str">
        <v>Proficient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27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26"/>
        <v>26</v>
      </c>
      <c r="E882" s="6" t="str">
        <v>Proficient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27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26"/>
        <v>6</v>
      </c>
      <c r="E883" s="6" t="str"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27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26"/>
        <v>10</v>
      </c>
      <c r="E884" s="6" t="str"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27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26"/>
        <v>18</v>
      </c>
      <c r="E885" s="6" t="str">
        <v>Proficient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27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26"/>
        <v>25</v>
      </c>
      <c r="E886" s="6" t="str">
        <v>Proficient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27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26"/>
        <v>30</v>
      </c>
      <c r="E887" s="6" t="str">
        <v>Proficient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27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26"/>
        <v>18</v>
      </c>
      <c r="E888" s="6" t="str">
        <v>Proficient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27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26"/>
        <v>5</v>
      </c>
      <c r="E889" s="6" t="str"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27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26"/>
        <v>16</v>
      </c>
      <c r="E890" s="6" t="str">
        <v>Proficient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27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26"/>
        <v>20</v>
      </c>
      <c r="E891" s="6" t="str">
        <v>Proficient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27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26"/>
        <v>12</v>
      </c>
      <c r="E892" s="6" t="str">
        <v>Proficient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27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26"/>
        <v>24</v>
      </c>
      <c r="E893" s="6" t="str">
        <v>Proficient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27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26"/>
        <v>19</v>
      </c>
      <c r="E894" s="6" t="str">
        <v>Proficient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27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26"/>
        <v>8</v>
      </c>
      <c r="E895" s="6" t="str"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27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26"/>
        <v>29</v>
      </c>
      <c r="E896" s="6" t="str">
        <v>Proficient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27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26"/>
        <v>10</v>
      </c>
      <c r="E897" s="6" t="str"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27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26"/>
        <v>30</v>
      </c>
      <c r="E898" s="6" t="str">
        <v>Proficient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27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28">YEAR(C899)-YEAR(B899)</f>
        <v>25</v>
      </c>
      <c r="E899" s="6" t="str">
        <v>Proficient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29">IF(OR(L899="Retirement",L899="Resignation"),"Voluntary","Involuntary")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28"/>
        <v>17</v>
      </c>
      <c r="E900" s="6" t="str">
        <v>Proficient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29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28"/>
        <v>24</v>
      </c>
      <c r="E901" s="6" t="str">
        <v>Proficient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29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28"/>
        <v>6</v>
      </c>
      <c r="E902" s="6" t="str"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29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28"/>
        <v>9</v>
      </c>
      <c r="E903" s="6" t="str"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29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28"/>
        <v>20</v>
      </c>
      <c r="E904" s="6" t="str">
        <v>Proficient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29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28"/>
        <v>26</v>
      </c>
      <c r="E905" s="6" t="str">
        <v>Proficient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29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28"/>
        <v>5</v>
      </c>
      <c r="E906" s="6" t="str"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29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28"/>
        <v>8</v>
      </c>
      <c r="E907" s="6" t="str"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29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28"/>
        <v>30</v>
      </c>
      <c r="E908" s="6" t="str">
        <v>Proficient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29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28"/>
        <v>23</v>
      </c>
      <c r="E909" s="6" t="str">
        <v>Proficient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29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28"/>
        <v>20</v>
      </c>
      <c r="E910" s="6" t="str">
        <v>Proficient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29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28"/>
        <v>20</v>
      </c>
      <c r="E911" s="6" t="str">
        <v>Proficient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29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28"/>
        <v>20</v>
      </c>
      <c r="E912" s="6" t="str">
        <v>Proficient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29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28"/>
        <v>10</v>
      </c>
      <c r="E913" s="6" t="str"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29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28"/>
        <v>15</v>
      </c>
      <c r="E914" s="6" t="str">
        <v>Proficient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29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28"/>
        <v>18</v>
      </c>
      <c r="E915" s="6" t="str">
        <v>Proficient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29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28"/>
        <v>26</v>
      </c>
      <c r="E916" s="6" t="str">
        <v>Proficient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29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28"/>
        <v>28</v>
      </c>
      <c r="E917" s="6" t="str">
        <v>Proficient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29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28"/>
        <v>18</v>
      </c>
      <c r="E918" s="6" t="str">
        <v>Proficient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29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28"/>
        <v>20</v>
      </c>
      <c r="E919" s="6" t="str">
        <v>Proficient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29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28"/>
        <v>15</v>
      </c>
      <c r="E920" s="6" t="str">
        <v>Proficient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29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28"/>
        <v>20</v>
      </c>
      <c r="E921" s="6" t="str">
        <v>Proficient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29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28"/>
        <v>19</v>
      </c>
      <c r="E922" s="6" t="str">
        <v>Proficient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29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28"/>
        <v>15</v>
      </c>
      <c r="E923" s="6" t="str">
        <v>Proficient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29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28"/>
        <v>12</v>
      </c>
      <c r="E924" s="6" t="str">
        <v>Proficient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29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28"/>
        <v>10</v>
      </c>
      <c r="E925" s="6" t="str"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29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28"/>
        <v>9</v>
      </c>
      <c r="E926" s="6" t="str"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29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28"/>
        <v>15</v>
      </c>
      <c r="E927" s="6" t="str">
        <v>Proficient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29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28"/>
        <v>11</v>
      </c>
      <c r="E928" s="6" t="str">
        <v>Proficient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29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28"/>
        <v>27</v>
      </c>
      <c r="E929" s="6" t="str">
        <v>Proficient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29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28"/>
        <v>30</v>
      </c>
      <c r="E930" s="6" t="str">
        <v>Proficient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29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28"/>
        <v>9</v>
      </c>
      <c r="E931" s="6" t="str"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29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28"/>
        <v>18</v>
      </c>
      <c r="E932" s="6" t="str">
        <v>Proficient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29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28"/>
        <v>22</v>
      </c>
      <c r="E933" s="6" t="str">
        <v>Proficient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29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28"/>
        <v>26</v>
      </c>
      <c r="E934" s="6" t="str">
        <v>Proficient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29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28"/>
        <v>26</v>
      </c>
      <c r="E935" s="6" t="str">
        <v>Proficient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29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28"/>
        <v>25</v>
      </c>
      <c r="E936" s="6" t="str">
        <v>Proficient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29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28"/>
        <v>7</v>
      </c>
      <c r="E937" s="6" t="str"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29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28"/>
        <v>16</v>
      </c>
      <c r="E938" s="6" t="str">
        <v>Proficient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29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28"/>
        <v>24</v>
      </c>
      <c r="E939" s="6" t="str">
        <v>Proficient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29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28"/>
        <v>17</v>
      </c>
      <c r="E940" s="6" t="str">
        <v>Proficient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29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28"/>
        <v>8</v>
      </c>
      <c r="E941" s="6" t="str"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29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28"/>
        <v>6</v>
      </c>
      <c r="E942" s="6" t="str"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29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28"/>
        <v>8</v>
      </c>
      <c r="E943" s="6" t="str"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29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28"/>
        <v>28</v>
      </c>
      <c r="E944" s="6" t="str">
        <v>Proficient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29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28"/>
        <v>8</v>
      </c>
      <c r="E945" s="6" t="str"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29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28"/>
        <v>18</v>
      </c>
      <c r="E946" s="6" t="str">
        <v>Proficient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29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28"/>
        <v>24</v>
      </c>
      <c r="E947" s="6" t="str">
        <v>Proficient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29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28"/>
        <v>7</v>
      </c>
      <c r="E948" s="6" t="str"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29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28"/>
        <v>26</v>
      </c>
      <c r="E949" s="6" t="str">
        <v>Proficient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29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28"/>
        <v>13</v>
      </c>
      <c r="E950" s="6" t="str">
        <v>Proficient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29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28"/>
        <v>11</v>
      </c>
      <c r="E951" s="6" t="str">
        <v>Proficient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29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28"/>
        <v>22</v>
      </c>
      <c r="E952" s="6" t="str">
        <v>Proficient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29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28"/>
        <v>15</v>
      </c>
      <c r="E953" s="6" t="str">
        <v>Proficient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29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28"/>
        <v>29</v>
      </c>
      <c r="E954" s="6" t="str">
        <v>Proficient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29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28"/>
        <v>23</v>
      </c>
      <c r="E955" s="6" t="str">
        <v>Proficient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29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28"/>
        <v>20</v>
      </c>
      <c r="E956" s="6" t="str">
        <v>Proficient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29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28"/>
        <v>15</v>
      </c>
      <c r="E957" s="6" t="str">
        <v>Proficient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29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28"/>
        <v>8</v>
      </c>
      <c r="E958" s="6" t="str"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29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28"/>
        <v>8</v>
      </c>
      <c r="E959" s="6" t="str"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29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28"/>
        <v>16</v>
      </c>
      <c r="E960" s="6" t="str">
        <v>Proficient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29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28"/>
        <v>23</v>
      </c>
      <c r="E961" s="6" t="str">
        <v>Proficient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29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28"/>
        <v>19</v>
      </c>
      <c r="E962" s="6" t="str">
        <v>Proficient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29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30">YEAR(C963)-YEAR(B963)</f>
        <v>13</v>
      </c>
      <c r="E963" s="6" t="str">
        <v>Proficient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31">IF(OR(L963="Retirement",L963="Resignation"),"Voluntary","Involuntary")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30"/>
        <v>8</v>
      </c>
      <c r="E964" s="6" t="str"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31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30"/>
        <v>11</v>
      </c>
      <c r="E965" s="6" t="str">
        <v>Proficient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31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30"/>
        <v>17</v>
      </c>
      <c r="E966" s="6" t="str">
        <v>Proficient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31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30"/>
        <v>8</v>
      </c>
      <c r="E967" s="6" t="str"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31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30"/>
        <v>16</v>
      </c>
      <c r="E968" s="6" t="str">
        <v>Proficient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31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30"/>
        <v>23</v>
      </c>
      <c r="E969" s="6" t="str">
        <v>Proficient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31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30"/>
        <v>20</v>
      </c>
      <c r="E970" s="6" t="str">
        <v>Proficient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31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30"/>
        <v>16</v>
      </c>
      <c r="E971" s="6" t="str">
        <v>Proficient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31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30"/>
        <v>5</v>
      </c>
      <c r="E972" s="6" t="str"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31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30"/>
        <v>5</v>
      </c>
      <c r="E973" s="6" t="str"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31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30"/>
        <v>9</v>
      </c>
      <c r="E974" s="6" t="str"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31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30"/>
        <v>12</v>
      </c>
      <c r="E975" s="6" t="str">
        <v>Proficient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31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30"/>
        <v>26</v>
      </c>
      <c r="E976" s="6" t="str">
        <v>Proficient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31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30"/>
        <v>20</v>
      </c>
      <c r="E977" s="6" t="str">
        <v>Proficient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31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30"/>
        <v>26</v>
      </c>
      <c r="E978" s="6" t="str">
        <v>Proficient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31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30"/>
        <v>13</v>
      </c>
      <c r="E979" s="6" t="str">
        <v>Proficient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31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30"/>
        <v>9</v>
      </c>
      <c r="E980" s="6" t="str"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31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30"/>
        <v>10</v>
      </c>
      <c r="E981" s="6" t="str"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31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30"/>
        <v>14</v>
      </c>
      <c r="E982" s="6" t="str">
        <v>Proficient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31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30"/>
        <v>13</v>
      </c>
      <c r="E983" s="6" t="str">
        <v>Proficient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31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30"/>
        <v>25</v>
      </c>
      <c r="E984" s="6" t="str">
        <v>Proficient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31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30"/>
        <v>21</v>
      </c>
      <c r="E985" s="6" t="str">
        <v>Proficient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31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30"/>
        <v>21</v>
      </c>
      <c r="E986" s="6" t="str">
        <v>Proficient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31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30"/>
        <v>11</v>
      </c>
      <c r="E987" s="6" t="str">
        <v>Proficient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31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30"/>
        <v>15</v>
      </c>
      <c r="E988" s="6" t="str">
        <v>Proficient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31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30"/>
        <v>10</v>
      </c>
      <c r="E989" s="6" t="str"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31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30"/>
        <v>29</v>
      </c>
      <c r="E990" s="6" t="str">
        <v>Proficient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31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30"/>
        <v>29</v>
      </c>
      <c r="E991" s="6" t="str">
        <v>Proficient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31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30"/>
        <v>7</v>
      </c>
      <c r="E992" s="6" t="str"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31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30"/>
        <v>12</v>
      </c>
      <c r="E993" s="6" t="str">
        <v>Proficient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31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30"/>
        <v>27</v>
      </c>
      <c r="E994" s="6" t="str">
        <v>Proficient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31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30"/>
        <v>16</v>
      </c>
      <c r="E995" s="6" t="str">
        <v>Proficient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31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30"/>
        <v>25</v>
      </c>
      <c r="E996" s="6" t="str">
        <v>Proficient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31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30"/>
        <v>23</v>
      </c>
      <c r="E997" s="6" t="str">
        <v>Proficient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31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30"/>
        <v>14</v>
      </c>
      <c r="E998" s="6" t="str">
        <v>Proficient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31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30"/>
        <v>10</v>
      </c>
      <c r="E999" s="6" t="str"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31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30"/>
        <v>28</v>
      </c>
      <c r="E1000" s="6" t="str">
        <v>Proficient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31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30"/>
        <v>18</v>
      </c>
      <c r="E1001" s="6" t="str">
        <v>Proficient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31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30"/>
        <v>30</v>
      </c>
      <c r="E1002" s="6" t="str">
        <v>Proficient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31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30"/>
        <v>17</v>
      </c>
      <c r="E1003" s="6" t="str">
        <v>Proficient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31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30"/>
        <v>16</v>
      </c>
      <c r="E1004" s="6" t="str">
        <v>Proficient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31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30"/>
        <v>20</v>
      </c>
      <c r="E1005" s="6" t="str">
        <v>Proficient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31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30"/>
        <v>22</v>
      </c>
      <c r="E1006" s="6" t="str">
        <v>Proficient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31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30"/>
        <v>14</v>
      </c>
      <c r="E1007" s="6" t="str">
        <v>Proficient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31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30"/>
        <v>24</v>
      </c>
      <c r="E1008" s="6" t="str">
        <v>Proficient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31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30"/>
        <v>23</v>
      </c>
      <c r="E1009" s="6" t="str">
        <v>Proficient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31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30"/>
        <v>26</v>
      </c>
      <c r="E1010" s="6" t="str">
        <v>Proficient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31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30"/>
        <v>25</v>
      </c>
      <c r="E1011" s="6" t="str">
        <v>Proficient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31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30"/>
        <v>27</v>
      </c>
      <c r="E1012" s="6" t="str">
        <v>Proficient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31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30"/>
        <v>25</v>
      </c>
      <c r="E1013" s="6" t="str">
        <v>Proficient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31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30"/>
        <v>25</v>
      </c>
      <c r="E1014" s="6" t="str">
        <v>Proficient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31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30"/>
        <v>16</v>
      </c>
      <c r="E1015" s="6" t="str">
        <v>Proficient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31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30"/>
        <v>19</v>
      </c>
      <c r="E1016" s="6" t="str">
        <v>Proficient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31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30"/>
        <v>28</v>
      </c>
      <c r="E1017" s="6" t="str">
        <v>Proficient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31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30"/>
        <v>13</v>
      </c>
      <c r="E1018" s="6" t="str">
        <v>Proficient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31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30"/>
        <v>25</v>
      </c>
      <c r="E1019" s="6" t="str">
        <v>Proficient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31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30"/>
        <v>25</v>
      </c>
      <c r="E1020" s="6" t="str">
        <v>Proficient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31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30"/>
        <v>28</v>
      </c>
      <c r="E1021" s="6" t="str">
        <v>Proficient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31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30"/>
        <v>11</v>
      </c>
      <c r="E1022" s="6" t="str">
        <v>Proficient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31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30"/>
        <v>14</v>
      </c>
      <c r="E1023" s="6" t="str">
        <v>Proficient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31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30"/>
        <v>19</v>
      </c>
      <c r="E1024" s="6" t="str">
        <v>Proficient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31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30"/>
        <v>26</v>
      </c>
      <c r="E1025" s="6" t="str">
        <v>Proficient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31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30"/>
        <v>20</v>
      </c>
      <c r="E1026" s="6" t="str">
        <v>Proficient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31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32">YEAR(C1027)-YEAR(B1027)</f>
        <v>17</v>
      </c>
      <c r="E1027" s="6" t="str">
        <v>Proficient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33">IF(OR(L1027="Retirement",L1027="Resignation"),"Voluntary","Involuntary")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32"/>
        <v>11</v>
      </c>
      <c r="E1028" s="6" t="str">
        <v>Proficient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33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32"/>
        <v>20</v>
      </c>
      <c r="E1029" s="6" t="str">
        <v>Proficient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33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32"/>
        <v>16</v>
      </c>
      <c r="E1030" s="6" t="str">
        <v>Proficient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33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32"/>
        <v>14</v>
      </c>
      <c r="E1031" s="6" t="str">
        <v>Proficient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33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32"/>
        <v>12</v>
      </c>
      <c r="E1032" s="6" t="str">
        <v>Proficient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33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32"/>
        <v>9</v>
      </c>
      <c r="E1033" s="6" t="str"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33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32"/>
        <v>23</v>
      </c>
      <c r="E1034" s="6" t="str">
        <v>Proficient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33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32"/>
        <v>26</v>
      </c>
      <c r="E1035" s="6" t="str">
        <v>Proficient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33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32"/>
        <v>9</v>
      </c>
      <c r="E1036" s="6" t="str"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33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32"/>
        <v>29</v>
      </c>
      <c r="E1037" s="6" t="str">
        <v>Proficient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33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32"/>
        <v>15</v>
      </c>
      <c r="E1038" s="6" t="str">
        <v>Proficient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33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32"/>
        <v>8</v>
      </c>
      <c r="E1039" s="6" t="str"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33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32"/>
        <v>29</v>
      </c>
      <c r="E1040" s="6" t="str">
        <v>Proficient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33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32"/>
        <v>15</v>
      </c>
      <c r="E1041" s="6" t="str">
        <v>Proficient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33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32"/>
        <v>25</v>
      </c>
      <c r="E1042" s="6" t="str">
        <v>Proficient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33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32"/>
        <v>18</v>
      </c>
      <c r="E1043" s="6" t="str">
        <v>Proficient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33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32"/>
        <v>14</v>
      </c>
      <c r="E1044" s="6" t="str">
        <v>Proficient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33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32"/>
        <v>15</v>
      </c>
      <c r="E1045" s="6" t="str">
        <v>Proficient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33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32"/>
        <v>8</v>
      </c>
      <c r="E1046" s="6" t="str"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33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32"/>
        <v>20</v>
      </c>
      <c r="E1047" s="6" t="str">
        <v>Proficient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33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32"/>
        <v>12</v>
      </c>
      <c r="E1048" s="6" t="str">
        <v>Proficient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33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32"/>
        <v>23</v>
      </c>
      <c r="E1049" s="6" t="str">
        <v>Proficient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33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32"/>
        <v>20</v>
      </c>
      <c r="E1050" s="6" t="str">
        <v>Proficient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33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32"/>
        <v>22</v>
      </c>
      <c r="E1051" s="6" t="str">
        <v>Proficient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33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32"/>
        <v>21</v>
      </c>
      <c r="E1052" s="6" t="str">
        <v>Proficient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33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32"/>
        <v>6</v>
      </c>
      <c r="E1053" s="6" t="str"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33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32"/>
        <v>23</v>
      </c>
      <c r="E1054" s="6" t="str">
        <v>Proficient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33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32"/>
        <v>8</v>
      </c>
      <c r="E1055" s="6" t="str"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33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32"/>
        <v>28</v>
      </c>
      <c r="E1056" s="6" t="str">
        <v>Proficient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33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32"/>
        <v>18</v>
      </c>
      <c r="E1057" s="6" t="str">
        <v>Proficient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33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32"/>
        <v>10</v>
      </c>
      <c r="E1058" s="6" t="str"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33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32"/>
        <v>21</v>
      </c>
      <c r="E1059" s="6" t="str">
        <v>Proficient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33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32"/>
        <v>17</v>
      </c>
      <c r="E1060" s="6" t="str">
        <v>Proficient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33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32"/>
        <v>18</v>
      </c>
      <c r="E1061" s="6" t="str">
        <v>Proficient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33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32"/>
        <v>9</v>
      </c>
      <c r="E1062" s="6" t="str"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33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32"/>
        <v>13</v>
      </c>
      <c r="E1063" s="6" t="str">
        <v>Proficient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33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32"/>
        <v>9</v>
      </c>
      <c r="E1064" s="6" t="str"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33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32"/>
        <v>18</v>
      </c>
      <c r="E1065" s="6" t="str">
        <v>Proficient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33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32"/>
        <v>21</v>
      </c>
      <c r="E1066" s="6" t="str">
        <v>Proficient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33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32"/>
        <v>6</v>
      </c>
      <c r="E1067" s="6" t="str"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33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32"/>
        <v>15</v>
      </c>
      <c r="E1068" s="6" t="str">
        <v>Proficient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33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32"/>
        <v>27</v>
      </c>
      <c r="E1069" s="6" t="str">
        <v>Proficient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33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32"/>
        <v>18</v>
      </c>
      <c r="E1070" s="6" t="str">
        <v>Proficient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33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32"/>
        <v>16</v>
      </c>
      <c r="E1071" s="6" t="str">
        <v>Proficient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33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32"/>
        <v>22</v>
      </c>
      <c r="E1072" s="6" t="str">
        <v>Proficient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33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32"/>
        <v>6</v>
      </c>
      <c r="E1073" s="6" t="str"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33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32"/>
        <v>30</v>
      </c>
      <c r="E1074" s="6" t="str">
        <v>Proficient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33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32"/>
        <v>13</v>
      </c>
      <c r="E1075" s="6" t="str">
        <v>Proficient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33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32"/>
        <v>21</v>
      </c>
      <c r="E1076" s="6" t="str">
        <v>Proficient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33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32"/>
        <v>16</v>
      </c>
      <c r="E1077" s="6" t="str">
        <v>Proficient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33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32"/>
        <v>9</v>
      </c>
      <c r="E1078" s="6" t="str"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33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32"/>
        <v>5</v>
      </c>
      <c r="E1079" s="6" t="str"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33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32"/>
        <v>12</v>
      </c>
      <c r="E1080" s="6" t="str">
        <v>Proficient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33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32"/>
        <v>14</v>
      </c>
      <c r="E1081" s="6" t="str">
        <v>Proficient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33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32"/>
        <v>28</v>
      </c>
      <c r="E1082" s="6" t="str">
        <v>Proficient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33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32"/>
        <v>27</v>
      </c>
      <c r="E1083" s="6" t="str">
        <v>Proficient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33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32"/>
        <v>22</v>
      </c>
      <c r="E1084" s="6" t="str">
        <v>Proficient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33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32"/>
        <v>13</v>
      </c>
      <c r="E1085" s="6" t="str">
        <v>Proficient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33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32"/>
        <v>27</v>
      </c>
      <c r="E1086" s="6" t="str">
        <v>Proficient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33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32"/>
        <v>8</v>
      </c>
      <c r="E1087" s="6" t="str"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33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32"/>
        <v>7</v>
      </c>
      <c r="E1088" s="6" t="str"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33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32"/>
        <v>11</v>
      </c>
      <c r="E1089" s="6" t="str">
        <v>Proficient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33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32"/>
        <v>20</v>
      </c>
      <c r="E1090" s="6" t="str">
        <v>Proficient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33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34">YEAR(C1091)-YEAR(B1091)</f>
        <v>5</v>
      </c>
      <c r="E1091" s="6" t="str"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35">IF(OR(L1091="Retirement",L1091="Resignation"),"Voluntary","Involuntary")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34"/>
        <v>21</v>
      </c>
      <c r="E1092" s="6" t="str">
        <v>Proficient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35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34"/>
        <v>9</v>
      </c>
      <c r="E1093" s="6" t="str"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35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34"/>
        <v>27</v>
      </c>
      <c r="E1094" s="6" t="str">
        <v>Proficient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35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34"/>
        <v>25</v>
      </c>
      <c r="E1095" s="6" t="str">
        <v>Proficient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35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34"/>
        <v>28</v>
      </c>
      <c r="E1096" s="6" t="str">
        <v>Proficient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35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34"/>
        <v>19</v>
      </c>
      <c r="E1097" s="6" t="str">
        <v>Proficient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35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34"/>
        <v>29</v>
      </c>
      <c r="E1098" s="6" t="str">
        <v>Proficient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35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34"/>
        <v>28</v>
      </c>
      <c r="E1099" s="6" t="str">
        <v>Proficient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35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34"/>
        <v>29</v>
      </c>
      <c r="E1100" s="6" t="str">
        <v>Proficient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35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34"/>
        <v>24</v>
      </c>
      <c r="E1101" s="6" t="str">
        <v>Proficient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35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34"/>
        <v>10</v>
      </c>
      <c r="E1102" s="6" t="str"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35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34"/>
        <v>20</v>
      </c>
      <c r="E1103" s="6" t="str">
        <v>Proficient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35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34"/>
        <v>15</v>
      </c>
      <c r="E1104" s="6" t="str">
        <v>Proficient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35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34"/>
        <v>15</v>
      </c>
      <c r="E1105" s="6" t="str">
        <v>Proficient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35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34"/>
        <v>24</v>
      </c>
      <c r="E1106" s="6" t="str">
        <v>Proficient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35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34"/>
        <v>6</v>
      </c>
      <c r="E1107" s="6" t="str"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35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34"/>
        <v>14</v>
      </c>
      <c r="E1108" s="6" t="str">
        <v>Proficient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35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34"/>
        <v>5</v>
      </c>
      <c r="E1109" s="6" t="str"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35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34"/>
        <v>17</v>
      </c>
      <c r="E1110" s="6" t="str">
        <v>Proficient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35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34"/>
        <v>30</v>
      </c>
      <c r="E1111" s="6" t="str">
        <v>Proficient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35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34"/>
        <v>8</v>
      </c>
      <c r="E1112" s="6" t="str"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35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34"/>
        <v>8</v>
      </c>
      <c r="E1113" s="6" t="str"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35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34"/>
        <v>19</v>
      </c>
      <c r="E1114" s="6" t="str">
        <v>Proficient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35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34"/>
        <v>15</v>
      </c>
      <c r="E1115" s="6" t="str">
        <v>Proficient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35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34"/>
        <v>8</v>
      </c>
      <c r="E1116" s="6" t="str"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35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34"/>
        <v>21</v>
      </c>
      <c r="E1117" s="6" t="str">
        <v>Proficient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35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34"/>
        <v>15</v>
      </c>
      <c r="E1118" s="6" t="str">
        <v>Proficient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35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34"/>
        <v>24</v>
      </c>
      <c r="E1119" s="6" t="str">
        <v>Proficient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35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34"/>
        <v>21</v>
      </c>
      <c r="E1120" s="6" t="str">
        <v>Proficient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35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34"/>
        <v>21</v>
      </c>
      <c r="E1121" s="6" t="str">
        <v>Proficient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35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34"/>
        <v>30</v>
      </c>
      <c r="E1122" s="6" t="str">
        <v>Proficient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35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34"/>
        <v>26</v>
      </c>
      <c r="E1123" s="6" t="str">
        <v>Proficient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35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34"/>
        <v>17</v>
      </c>
      <c r="E1124" s="6" t="str">
        <v>Proficient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35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34"/>
        <v>10</v>
      </c>
      <c r="E1125" s="6" t="str"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35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34"/>
        <v>16</v>
      </c>
      <c r="E1126" s="6" t="str">
        <v>Proficient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35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34"/>
        <v>11</v>
      </c>
      <c r="E1127" s="6" t="str">
        <v>Proficient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35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34"/>
        <v>11</v>
      </c>
      <c r="E1128" s="6" t="str">
        <v>Proficient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35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34"/>
        <v>25</v>
      </c>
      <c r="E1129" s="6" t="str">
        <v>Proficient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35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34"/>
        <v>7</v>
      </c>
      <c r="E1130" s="6" t="str"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35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34"/>
        <v>15</v>
      </c>
      <c r="E1131" s="6" t="str">
        <v>Proficient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35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34"/>
        <v>7</v>
      </c>
      <c r="E1132" s="6" t="str"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35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34"/>
        <v>25</v>
      </c>
      <c r="E1133" s="6" t="str">
        <v>Proficient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35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34"/>
        <v>21</v>
      </c>
      <c r="E1134" s="6" t="str">
        <v>Proficient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35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34"/>
        <v>6</v>
      </c>
      <c r="E1135" s="6" t="str"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35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34"/>
        <v>14</v>
      </c>
      <c r="E1136" s="6" t="str">
        <v>Proficient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35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34"/>
        <v>20</v>
      </c>
      <c r="E1137" s="6" t="str">
        <v>Proficient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35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34"/>
        <v>11</v>
      </c>
      <c r="E1138" s="6" t="str">
        <v>Proficient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35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34"/>
        <v>13</v>
      </c>
      <c r="E1139" s="6" t="str">
        <v>Proficient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35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34"/>
        <v>17</v>
      </c>
      <c r="E1140" s="6" t="str">
        <v>Proficient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35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34"/>
        <v>26</v>
      </c>
      <c r="E1141" s="6" t="str">
        <v>Proficient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35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34"/>
        <v>10</v>
      </c>
      <c r="E1142" s="6" t="str"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35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34"/>
        <v>19</v>
      </c>
      <c r="E1143" s="6" t="str">
        <v>Proficient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35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34"/>
        <v>29</v>
      </c>
      <c r="E1144" s="6" t="str">
        <v>Proficient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35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34"/>
        <v>16</v>
      </c>
      <c r="E1145" s="6" t="str">
        <v>Proficient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35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34"/>
        <v>19</v>
      </c>
      <c r="E1146" s="6" t="str">
        <v>Proficient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35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34"/>
        <v>29</v>
      </c>
      <c r="E1147" s="6" t="str">
        <v>Proficient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35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34"/>
        <v>22</v>
      </c>
      <c r="E1148" s="6" t="str">
        <v>Proficient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35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34"/>
        <v>24</v>
      </c>
      <c r="E1149" s="6" t="str">
        <v>Proficient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35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34"/>
        <v>20</v>
      </c>
      <c r="E1150" s="6" t="str">
        <v>Proficient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35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34"/>
        <v>7</v>
      </c>
      <c r="E1151" s="6" t="str"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35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34"/>
        <v>9</v>
      </c>
      <c r="E1152" s="6" t="str"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35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34"/>
        <v>24</v>
      </c>
      <c r="E1153" s="6" t="str">
        <v>Proficient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35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34"/>
        <v>17</v>
      </c>
      <c r="E1154" s="6" t="str">
        <v>Proficient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35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36">YEAR(C1155)-YEAR(B1155)</f>
        <v>30</v>
      </c>
      <c r="E1155" s="6" t="str">
        <v>Proficient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37">IF(OR(L1155="Retirement",L1155="Resignation"),"Voluntary","Involuntary")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36"/>
        <v>21</v>
      </c>
      <c r="E1156" s="6" t="str">
        <v>Proficient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37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36"/>
        <v>19</v>
      </c>
      <c r="E1157" s="6" t="str">
        <v>Proficient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37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36"/>
        <v>11</v>
      </c>
      <c r="E1158" s="6" t="str">
        <v>Proficient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37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36"/>
        <v>8</v>
      </c>
      <c r="E1159" s="6" t="str"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37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36"/>
        <v>13</v>
      </c>
      <c r="E1160" s="6" t="str">
        <v>Proficient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37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36"/>
        <v>24</v>
      </c>
      <c r="E1161" s="6" t="str">
        <v>Proficient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37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36"/>
        <v>29</v>
      </c>
      <c r="E1162" s="6" t="str">
        <v>Proficient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37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36"/>
        <v>14</v>
      </c>
      <c r="E1163" s="6" t="str">
        <v>Proficient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37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36"/>
        <v>27</v>
      </c>
      <c r="E1164" s="6" t="str">
        <v>Proficient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37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36"/>
        <v>8</v>
      </c>
      <c r="E1165" s="6" t="str"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37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36"/>
        <v>18</v>
      </c>
      <c r="E1166" s="6" t="str">
        <v>Proficient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37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36"/>
        <v>28</v>
      </c>
      <c r="E1167" s="6" t="str">
        <v>Proficient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37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36"/>
        <v>9</v>
      </c>
      <c r="E1168" s="6" t="str"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37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36"/>
        <v>26</v>
      </c>
      <c r="E1169" s="6" t="str">
        <v>Proficient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37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36"/>
        <v>23</v>
      </c>
      <c r="E1170" s="6" t="str">
        <v>Proficient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37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36"/>
        <v>20</v>
      </c>
      <c r="E1171" s="6" t="str">
        <v>Proficient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37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36"/>
        <v>24</v>
      </c>
      <c r="E1172" s="6" t="str">
        <v>Proficient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37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36"/>
        <v>15</v>
      </c>
      <c r="E1173" s="6" t="str">
        <v>Proficient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37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36"/>
        <v>29</v>
      </c>
      <c r="E1174" s="6" t="str">
        <v>Proficient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37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36"/>
        <v>22</v>
      </c>
      <c r="E1175" s="6" t="str">
        <v>Proficient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37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36"/>
        <v>11</v>
      </c>
      <c r="E1176" s="6" t="str">
        <v>Proficient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37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36"/>
        <v>25</v>
      </c>
      <c r="E1177" s="6" t="str">
        <v>Proficient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37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36"/>
        <v>19</v>
      </c>
      <c r="E1178" s="6" t="str">
        <v>Proficient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37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36"/>
        <v>24</v>
      </c>
      <c r="E1179" s="6" t="str">
        <v>Proficient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37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36"/>
        <v>19</v>
      </c>
      <c r="E1180" s="6" t="str">
        <v>Proficient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37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36"/>
        <v>27</v>
      </c>
      <c r="E1181" s="6" t="str">
        <v>Proficient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37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36"/>
        <v>24</v>
      </c>
      <c r="E1182" s="6" t="str">
        <v>Proficient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37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36"/>
        <v>20</v>
      </c>
      <c r="E1183" s="6" t="str">
        <v>Proficient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37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36"/>
        <v>19</v>
      </c>
      <c r="E1184" s="6" t="str">
        <v>Proficient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37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36"/>
        <v>25</v>
      </c>
      <c r="E1185" s="6" t="str">
        <v>Proficient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37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36"/>
        <v>22</v>
      </c>
      <c r="E1186" s="6" t="str">
        <v>Proficient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37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36"/>
        <v>5</v>
      </c>
      <c r="E1187" s="6" t="str"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37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36"/>
        <v>26</v>
      </c>
      <c r="E1188" s="6" t="str">
        <v>Proficient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37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36"/>
        <v>20</v>
      </c>
      <c r="E1189" s="6" t="str">
        <v>Proficient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37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36"/>
        <v>23</v>
      </c>
      <c r="E1190" s="6" t="str">
        <v>Proficient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37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36"/>
        <v>19</v>
      </c>
      <c r="E1191" s="6" t="str">
        <v>Proficient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37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36"/>
        <v>22</v>
      </c>
      <c r="E1192" s="6" t="str">
        <v>Proficient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37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36"/>
        <v>30</v>
      </c>
      <c r="E1193" s="6" t="str">
        <v>Proficient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37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36"/>
        <v>12</v>
      </c>
      <c r="E1194" s="6" t="str">
        <v>Proficient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37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36"/>
        <v>15</v>
      </c>
      <c r="E1195" s="6" t="str">
        <v>Proficient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37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36"/>
        <v>15</v>
      </c>
      <c r="E1196" s="6" t="str">
        <v>Proficient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37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36"/>
        <v>29</v>
      </c>
      <c r="E1197" s="6" t="str">
        <v>Proficient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37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36"/>
        <v>22</v>
      </c>
      <c r="E1198" s="6" t="str">
        <v>Proficient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37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36"/>
        <v>18</v>
      </c>
      <c r="E1199" s="6" t="str">
        <v>Proficient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37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36"/>
        <v>9</v>
      </c>
      <c r="E1200" s="6" t="str"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37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36"/>
        <v>17</v>
      </c>
      <c r="E1201" s="6" t="str">
        <v>Proficient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37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36"/>
        <v>23</v>
      </c>
      <c r="E1202" s="6" t="str">
        <v>Proficient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37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36"/>
        <v>8</v>
      </c>
      <c r="E1203" s="6" t="str"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37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36"/>
        <v>22</v>
      </c>
      <c r="E1204" s="6" t="str">
        <v>Proficient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37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36"/>
        <v>16</v>
      </c>
      <c r="E1205" s="6" t="str">
        <v>Proficient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37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36"/>
        <v>24</v>
      </c>
      <c r="E1206" s="6" t="str">
        <v>Proficient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37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36"/>
        <v>13</v>
      </c>
      <c r="E1207" s="6" t="str">
        <v>Proficient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37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36"/>
        <v>29</v>
      </c>
      <c r="E1208" s="6" t="str">
        <v>Proficient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37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36"/>
        <v>12</v>
      </c>
      <c r="E1209" s="6" t="str">
        <v>Proficient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37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36"/>
        <v>25</v>
      </c>
      <c r="E1210" s="6" t="str">
        <v>Proficient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37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36"/>
        <v>6</v>
      </c>
      <c r="E1211" s="6" t="str"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37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36"/>
        <v>7</v>
      </c>
      <c r="E1212" s="6" t="str"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37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36"/>
        <v>8</v>
      </c>
      <c r="E1213" s="6" t="str"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37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36"/>
        <v>25</v>
      </c>
      <c r="E1214" s="6" t="str">
        <v>Proficient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37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36"/>
        <v>21</v>
      </c>
      <c r="E1215" s="6" t="str">
        <v>Proficient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37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36"/>
        <v>5</v>
      </c>
      <c r="E1216" s="6" t="str"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37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36"/>
        <v>10</v>
      </c>
      <c r="E1217" s="6" t="str"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37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36"/>
        <v>21</v>
      </c>
      <c r="E1218" s="6" t="str">
        <v>Proficient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37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38">YEAR(C1219)-YEAR(B1219)</f>
        <v>19</v>
      </c>
      <c r="E1219" s="6" t="str">
        <v>Proficient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39">IF(OR(L1219="Retirement",L1219="Resignation"),"Voluntary","Involuntary")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38"/>
        <v>5</v>
      </c>
      <c r="E1220" s="6" t="str"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3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38"/>
        <v>6</v>
      </c>
      <c r="E1221" s="6" t="str"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3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38"/>
        <v>12</v>
      </c>
      <c r="E1222" s="6" t="str">
        <v>Proficient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3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38"/>
        <v>13</v>
      </c>
      <c r="E1223" s="6" t="str">
        <v>Proficient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3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38"/>
        <v>16</v>
      </c>
      <c r="E1224" s="6" t="str">
        <v>Proficient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3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38"/>
        <v>22</v>
      </c>
      <c r="E1225" s="6" t="str">
        <v>Proficient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3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38"/>
        <v>22</v>
      </c>
      <c r="E1226" s="6" t="str">
        <v>Proficient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3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38"/>
        <v>10</v>
      </c>
      <c r="E1227" s="6" t="str"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3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38"/>
        <v>30</v>
      </c>
      <c r="E1228" s="6" t="str">
        <v>Proficient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3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38"/>
        <v>15</v>
      </c>
      <c r="E1229" s="6" t="str">
        <v>Proficient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3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38"/>
        <v>27</v>
      </c>
      <c r="E1230" s="6" t="str">
        <v>Proficient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3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38"/>
        <v>28</v>
      </c>
      <c r="E1231" s="6" t="str">
        <v>Proficient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3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38"/>
        <v>29</v>
      </c>
      <c r="E1232" s="6" t="str">
        <v>Proficient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3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38"/>
        <v>5</v>
      </c>
      <c r="E1233" s="6" t="str"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3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38"/>
        <v>13</v>
      </c>
      <c r="E1234" s="6" t="str">
        <v>Proficient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3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38"/>
        <v>27</v>
      </c>
      <c r="E1235" s="6" t="str">
        <v>Proficient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3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38"/>
        <v>13</v>
      </c>
      <c r="E1236" s="6" t="str">
        <v>Proficient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3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38"/>
        <v>8</v>
      </c>
      <c r="E1237" s="6" t="str"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3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38"/>
        <v>17</v>
      </c>
      <c r="E1238" s="6" t="str">
        <v>Proficient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3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38"/>
        <v>5</v>
      </c>
      <c r="E1239" s="6" t="str"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3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38"/>
        <v>25</v>
      </c>
      <c r="E1240" s="6" t="str">
        <v>Proficient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3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38"/>
        <v>11</v>
      </c>
      <c r="E1241" s="6" t="str">
        <v>Proficient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3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38"/>
        <v>21</v>
      </c>
      <c r="E1242" s="6" t="str">
        <v>Proficient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3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38"/>
        <v>12</v>
      </c>
      <c r="E1243" s="6" t="str">
        <v>Proficient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3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38"/>
        <v>25</v>
      </c>
      <c r="E1244" s="6" t="str">
        <v>Proficient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3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38"/>
        <v>6</v>
      </c>
      <c r="E1245" s="6" t="str"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3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38"/>
        <v>7</v>
      </c>
      <c r="E1246" s="6" t="str"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3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38"/>
        <v>12</v>
      </c>
      <c r="E1247" s="6" t="str">
        <v>Proficient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3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38"/>
        <v>27</v>
      </c>
      <c r="E1248" s="6" t="str">
        <v>Proficient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3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38"/>
        <v>26</v>
      </c>
      <c r="E1249" s="6" t="str">
        <v>Proficient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3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38"/>
        <v>10</v>
      </c>
      <c r="E1250" s="6" t="str"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3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38"/>
        <v>5</v>
      </c>
      <c r="E1251" s="6" t="str"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3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38"/>
        <v>14</v>
      </c>
      <c r="E1252" s="6" t="str">
        <v>Proficient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3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38"/>
        <v>18</v>
      </c>
      <c r="E1253" s="6" t="str">
        <v>Proficient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3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38"/>
        <v>13</v>
      </c>
      <c r="E1254" s="6" t="str">
        <v>Proficient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3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38"/>
        <v>24</v>
      </c>
      <c r="E1255" s="6" t="str">
        <v>Proficient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3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38"/>
        <v>6</v>
      </c>
      <c r="E1256" s="6" t="str"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3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38"/>
        <v>29</v>
      </c>
      <c r="E1257" s="6" t="str">
        <v>Proficient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3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38"/>
        <v>11</v>
      </c>
      <c r="E1258" s="6" t="str">
        <v>Proficient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3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38"/>
        <v>19</v>
      </c>
      <c r="E1259" s="6" t="str">
        <v>Proficient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3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38"/>
        <v>13</v>
      </c>
      <c r="E1260" s="6" t="str">
        <v>Proficient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3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38"/>
        <v>20</v>
      </c>
      <c r="E1261" s="6" t="str">
        <v>Proficient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3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38"/>
        <v>11</v>
      </c>
      <c r="E1262" s="6" t="str">
        <v>Proficient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3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38"/>
        <v>29</v>
      </c>
      <c r="E1263" s="6" t="str">
        <v>Proficient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3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38"/>
        <v>20</v>
      </c>
      <c r="E1264" s="6" t="str">
        <v>Proficient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3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38"/>
        <v>10</v>
      </c>
      <c r="E1265" s="6" t="str"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3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38"/>
        <v>28</v>
      </c>
      <c r="E1266" s="6" t="str">
        <v>Proficient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3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38"/>
        <v>17</v>
      </c>
      <c r="E1267" s="6" t="str">
        <v>Proficient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3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38"/>
        <v>18</v>
      </c>
      <c r="E1268" s="6" t="str">
        <v>Proficient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3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38"/>
        <v>7</v>
      </c>
      <c r="E1269" s="6" t="str"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3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38"/>
        <v>21</v>
      </c>
      <c r="E1270" s="6" t="str">
        <v>Proficient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3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38"/>
        <v>7</v>
      </c>
      <c r="E1271" s="6" t="str"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3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38"/>
        <v>13</v>
      </c>
      <c r="E1272" s="6" t="str">
        <v>Proficient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3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38"/>
        <v>23</v>
      </c>
      <c r="E1273" s="6" t="str">
        <v>Proficient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3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38"/>
        <v>26</v>
      </c>
      <c r="E1274" s="6" t="str">
        <v>Proficient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3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38"/>
        <v>8</v>
      </c>
      <c r="E1275" s="6" t="str"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3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38"/>
        <v>15</v>
      </c>
      <c r="E1276" s="6" t="str">
        <v>Proficient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3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38"/>
        <v>23</v>
      </c>
      <c r="E1277" s="6" t="str">
        <v>Proficient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3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38"/>
        <v>16</v>
      </c>
      <c r="E1278" s="6" t="str">
        <v>Proficient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3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38"/>
        <v>15</v>
      </c>
      <c r="E1279" s="6" t="str">
        <v>Proficient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3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38"/>
        <v>20</v>
      </c>
      <c r="E1280" s="6" t="str">
        <v>Proficient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3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38"/>
        <v>18</v>
      </c>
      <c r="E1281" s="6" t="str">
        <v>Proficient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3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38"/>
        <v>17</v>
      </c>
      <c r="E1282" s="6" t="str">
        <v>Proficient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3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40">YEAR(C1283)-YEAR(B1283)</f>
        <v>13</v>
      </c>
      <c r="E1283" s="6" t="str">
        <v>Proficient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41">IF(OR(L1283="Retirement",L1283="Resignation"),"Voluntary","Involuntary")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40"/>
        <v>28</v>
      </c>
      <c r="E1284" s="6" t="str">
        <v>Proficient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41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40"/>
        <v>10</v>
      </c>
      <c r="E1285" s="6" t="str"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41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40"/>
        <v>30</v>
      </c>
      <c r="E1286" s="6" t="str">
        <v>Proficient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41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40"/>
        <v>28</v>
      </c>
      <c r="E1287" s="6" t="str">
        <v>Proficient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41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40"/>
        <v>19</v>
      </c>
      <c r="E1288" s="6" t="str">
        <v>Proficient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41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40"/>
        <v>14</v>
      </c>
      <c r="E1289" s="6" t="str">
        <v>Proficient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41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40"/>
        <v>29</v>
      </c>
      <c r="E1290" s="6" t="str">
        <v>Proficient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41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40"/>
        <v>8</v>
      </c>
      <c r="E1291" s="6" t="str"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41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40"/>
        <v>20</v>
      </c>
      <c r="E1292" s="6" t="str">
        <v>Proficient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41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40"/>
        <v>24</v>
      </c>
      <c r="E1293" s="6" t="str">
        <v>Proficient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41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40"/>
        <v>20</v>
      </c>
      <c r="E1294" s="6" t="str">
        <v>Proficient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41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40"/>
        <v>23</v>
      </c>
      <c r="E1295" s="6" t="str">
        <v>Proficient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41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40"/>
        <v>22</v>
      </c>
      <c r="E1296" s="6" t="str">
        <v>Proficient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41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40"/>
        <v>8</v>
      </c>
      <c r="E1297" s="6" t="str"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41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40"/>
        <v>8</v>
      </c>
      <c r="E1298" s="6" t="str"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41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40"/>
        <v>11</v>
      </c>
      <c r="E1299" s="6" t="str">
        <v>Proficient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41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40"/>
        <v>11</v>
      </c>
      <c r="E1300" s="6" t="str">
        <v>Proficient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41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40"/>
        <v>8</v>
      </c>
      <c r="E1301" s="6" t="str"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41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40"/>
        <v>30</v>
      </c>
      <c r="E1302" s="6" t="str">
        <v>Proficient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41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40"/>
        <v>17</v>
      </c>
      <c r="E1303" s="6" t="str">
        <v>Proficient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41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40"/>
        <v>14</v>
      </c>
      <c r="E1304" s="6" t="str">
        <v>Proficient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41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40"/>
        <v>18</v>
      </c>
      <c r="E1305" s="6" t="str">
        <v>Proficient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41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40"/>
        <v>16</v>
      </c>
      <c r="E1306" s="6" t="str">
        <v>Proficient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41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40"/>
        <v>26</v>
      </c>
      <c r="E1307" s="6" t="str">
        <v>Proficient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41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40"/>
        <v>13</v>
      </c>
      <c r="E1308" s="6" t="str">
        <v>Proficient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41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40"/>
        <v>11</v>
      </c>
      <c r="E1309" s="6" t="str">
        <v>Proficient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41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40"/>
        <v>13</v>
      </c>
      <c r="E1310" s="6" t="str">
        <v>Proficient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41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40"/>
        <v>8</v>
      </c>
      <c r="E1311" s="6" t="str"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41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40"/>
        <v>27</v>
      </c>
      <c r="E1312" s="6" t="str">
        <v>Proficient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41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40"/>
        <v>15</v>
      </c>
      <c r="E1313" s="6" t="str">
        <v>Proficient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41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40"/>
        <v>7</v>
      </c>
      <c r="E1314" s="6" t="str"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41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40"/>
        <v>16</v>
      </c>
      <c r="E1315" s="6" t="str">
        <v>Proficient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41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40"/>
        <v>24</v>
      </c>
      <c r="E1316" s="6" t="str">
        <v>Proficient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41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40"/>
        <v>7</v>
      </c>
      <c r="E1317" s="6" t="str"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41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40"/>
        <v>24</v>
      </c>
      <c r="E1318" s="6" t="str">
        <v>Proficient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41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40"/>
        <v>11</v>
      </c>
      <c r="E1319" s="6" t="str">
        <v>Proficient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41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40"/>
        <v>19</v>
      </c>
      <c r="E1320" s="6" t="str">
        <v>Proficient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41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40"/>
        <v>19</v>
      </c>
      <c r="E1321" s="6" t="str">
        <v>Proficient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41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40"/>
        <v>22</v>
      </c>
      <c r="E1322" s="6" t="str">
        <v>Proficient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41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40"/>
        <v>18</v>
      </c>
      <c r="E1323" s="6" t="str">
        <v>Proficient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41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40"/>
        <v>21</v>
      </c>
      <c r="E1324" s="6" t="str">
        <v>Proficient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41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40"/>
        <v>26</v>
      </c>
      <c r="E1325" s="6" t="str">
        <v>Proficient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41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40"/>
        <v>23</v>
      </c>
      <c r="E1326" s="6" t="str">
        <v>Proficient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41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40"/>
        <v>10</v>
      </c>
      <c r="E1327" s="6" t="str"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41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40"/>
        <v>9</v>
      </c>
      <c r="E1328" s="6" t="str"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41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40"/>
        <v>6</v>
      </c>
      <c r="E1329" s="6" t="str"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41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40"/>
        <v>24</v>
      </c>
      <c r="E1330" s="6" t="str">
        <v>Proficient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41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40"/>
        <v>29</v>
      </c>
      <c r="E1331" s="6" t="str">
        <v>Proficient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41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40"/>
        <v>6</v>
      </c>
      <c r="E1332" s="6" t="str"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41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40"/>
        <v>23</v>
      </c>
      <c r="E1333" s="6" t="str">
        <v>Proficient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41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40"/>
        <v>6</v>
      </c>
      <c r="E1334" s="6" t="str"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41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40"/>
        <v>24</v>
      </c>
      <c r="E1335" s="6" t="str">
        <v>Proficient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41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40"/>
        <v>6</v>
      </c>
      <c r="E1336" s="6" t="str"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41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40"/>
        <v>23</v>
      </c>
      <c r="E1337" s="6" t="str">
        <v>Proficient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41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40"/>
        <v>21</v>
      </c>
      <c r="E1338" s="6" t="str">
        <v>Proficient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41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40"/>
        <v>23</v>
      </c>
      <c r="E1339" s="6" t="str">
        <v>Proficient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41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40"/>
        <v>27</v>
      </c>
      <c r="E1340" s="6" t="str">
        <v>Proficient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41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40"/>
        <v>21</v>
      </c>
      <c r="E1341" s="6" t="str">
        <v>Proficient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41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40"/>
        <v>27</v>
      </c>
      <c r="E1342" s="6" t="str">
        <v>Proficient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41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40"/>
        <v>5</v>
      </c>
      <c r="E1343" s="6" t="str"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41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40"/>
        <v>18</v>
      </c>
      <c r="E1344" s="6" t="str">
        <v>Proficient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41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40"/>
        <v>16</v>
      </c>
      <c r="E1345" s="6" t="str">
        <v>Proficient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41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40"/>
        <v>17</v>
      </c>
      <c r="E1346" s="6" t="str">
        <v>Proficient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41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42">YEAR(C1347)-YEAR(B1347)</f>
        <v>14</v>
      </c>
      <c r="E1347" s="6" t="str">
        <v>Proficient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43">IF(OR(L1347="Retirement",L1347="Resignation"),"Voluntary","Involuntary")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42"/>
        <v>14</v>
      </c>
      <c r="E1348" s="6" t="str">
        <v>Proficient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43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42"/>
        <v>18</v>
      </c>
      <c r="E1349" s="6" t="str">
        <v>Proficient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43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42"/>
        <v>26</v>
      </c>
      <c r="E1350" s="6" t="str">
        <v>Proficient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43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42"/>
        <v>16</v>
      </c>
      <c r="E1351" s="6" t="str">
        <v>Proficient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43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42"/>
        <v>27</v>
      </c>
      <c r="E1352" s="6" t="str">
        <v>Proficient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43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42"/>
        <v>6</v>
      </c>
      <c r="E1353" s="6" t="str"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43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42"/>
        <v>15</v>
      </c>
      <c r="E1354" s="6" t="str">
        <v>Proficient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43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42"/>
        <v>24</v>
      </c>
      <c r="E1355" s="6" t="str">
        <v>Proficient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43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42"/>
        <v>7</v>
      </c>
      <c r="E1356" s="6" t="str"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43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42"/>
        <v>21</v>
      </c>
      <c r="E1357" s="6" t="str">
        <v>Proficient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43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42"/>
        <v>27</v>
      </c>
      <c r="E1358" s="6" t="str">
        <v>Proficient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43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42"/>
        <v>16</v>
      </c>
      <c r="E1359" s="6" t="str">
        <v>Proficient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43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42"/>
        <v>20</v>
      </c>
      <c r="E1360" s="6" t="str">
        <v>Proficient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43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42"/>
        <v>26</v>
      </c>
      <c r="E1361" s="6" t="str">
        <v>Proficient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43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42"/>
        <v>16</v>
      </c>
      <c r="E1362" s="6" t="str">
        <v>Proficient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43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42"/>
        <v>9</v>
      </c>
      <c r="E1363" s="6" t="str"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43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42"/>
        <v>20</v>
      </c>
      <c r="E1364" s="6" t="str">
        <v>Proficient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43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42"/>
        <v>19</v>
      </c>
      <c r="E1365" s="6" t="str">
        <v>Proficient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43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42"/>
        <v>23</v>
      </c>
      <c r="E1366" s="6" t="str">
        <v>Proficient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43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42"/>
        <v>19</v>
      </c>
      <c r="E1367" s="6" t="str">
        <v>Proficient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43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42"/>
        <v>30</v>
      </c>
      <c r="E1368" s="6" t="str">
        <v>Proficient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43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42"/>
        <v>20</v>
      </c>
      <c r="E1369" s="6" t="str">
        <v>Proficient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43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42"/>
        <v>24</v>
      </c>
      <c r="E1370" s="6" t="str">
        <v>Proficient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43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42"/>
        <v>11</v>
      </c>
      <c r="E1371" s="6" t="str">
        <v>Proficient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43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42"/>
        <v>17</v>
      </c>
      <c r="E1372" s="6" t="str">
        <v>Proficient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43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42"/>
        <v>20</v>
      </c>
      <c r="E1373" s="6" t="str">
        <v>Proficient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43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42"/>
        <v>27</v>
      </c>
      <c r="E1374" s="6" t="str">
        <v>Proficient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43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42"/>
        <v>30</v>
      </c>
      <c r="E1375" s="6" t="str">
        <v>Proficient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43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42"/>
        <v>10</v>
      </c>
      <c r="E1376" s="6" t="str"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43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42"/>
        <v>21</v>
      </c>
      <c r="E1377" s="6" t="str">
        <v>Proficient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43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42"/>
        <v>10</v>
      </c>
      <c r="E1378" s="6" t="str"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43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42"/>
        <v>30</v>
      </c>
      <c r="E1379" s="6" t="str">
        <v>Proficient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43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42"/>
        <v>19</v>
      </c>
      <c r="E1380" s="6" t="str">
        <v>Proficient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43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42"/>
        <v>24</v>
      </c>
      <c r="E1381" s="6" t="str">
        <v>Proficient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43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42"/>
        <v>9</v>
      </c>
      <c r="E1382" s="6" t="str"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43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42"/>
        <v>7</v>
      </c>
      <c r="E1383" s="6" t="str"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43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42"/>
        <v>7</v>
      </c>
      <c r="E1384" s="6" t="str"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43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42"/>
        <v>21</v>
      </c>
      <c r="E1385" s="6" t="str">
        <v>Proficient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43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42"/>
        <v>14</v>
      </c>
      <c r="E1386" s="6" t="str">
        <v>Proficient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43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42"/>
        <v>22</v>
      </c>
      <c r="E1387" s="6" t="str">
        <v>Proficient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43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42"/>
        <v>27</v>
      </c>
      <c r="E1388" s="6" t="str">
        <v>Proficient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43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42"/>
        <v>18</v>
      </c>
      <c r="E1389" s="6" t="str">
        <v>Proficient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43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42"/>
        <v>6</v>
      </c>
      <c r="E1390" s="6" t="str"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43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42"/>
        <v>11</v>
      </c>
      <c r="E1391" s="6" t="str">
        <v>Proficient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43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42"/>
        <v>25</v>
      </c>
      <c r="E1392" s="6" t="str">
        <v>Proficient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43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42"/>
        <v>11</v>
      </c>
      <c r="E1393" s="6" t="str">
        <v>Proficient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43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42"/>
        <v>19</v>
      </c>
      <c r="E1394" s="6" t="str">
        <v>Proficient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43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42"/>
        <v>19</v>
      </c>
      <c r="E1395" s="6" t="str">
        <v>Proficient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43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42"/>
        <v>23</v>
      </c>
      <c r="E1396" s="6" t="str">
        <v>Proficient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43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42"/>
        <v>14</v>
      </c>
      <c r="E1397" s="6" t="str">
        <v>Proficient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43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42"/>
        <v>10</v>
      </c>
      <c r="E1398" s="6" t="str"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43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42"/>
        <v>17</v>
      </c>
      <c r="E1399" s="6" t="str">
        <v>Proficient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43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42"/>
        <v>16</v>
      </c>
      <c r="E1400" s="6" t="str">
        <v>Proficient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43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42"/>
        <v>20</v>
      </c>
      <c r="E1401" s="6" t="str">
        <v>Proficient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43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42"/>
        <v>6</v>
      </c>
      <c r="E1402" s="6" t="str"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43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42"/>
        <v>11</v>
      </c>
      <c r="E1403" s="6" t="str">
        <v>Proficient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43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42"/>
        <v>24</v>
      </c>
      <c r="E1404" s="6" t="str">
        <v>Proficient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43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42"/>
        <v>5</v>
      </c>
      <c r="E1405" s="6" t="str"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43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42"/>
        <v>29</v>
      </c>
      <c r="E1406" s="6" t="str">
        <v>Proficient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43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42"/>
        <v>5</v>
      </c>
      <c r="E1407" s="6" t="str"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43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42"/>
        <v>15</v>
      </c>
      <c r="E1408" s="6" t="str">
        <v>Proficient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43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42"/>
        <v>25</v>
      </c>
      <c r="E1409" s="6" t="str">
        <v>Proficient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43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42"/>
        <v>27</v>
      </c>
      <c r="E1410" s="6" t="str">
        <v>Proficient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43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44">YEAR(C1411)-YEAR(B1411)</f>
        <v>17</v>
      </c>
      <c r="E1411" s="6" t="str">
        <v>Proficient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45">IF(OR(L1411="Retirement",L1411="Resignation"),"Voluntary","Involuntary")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44"/>
        <v>7</v>
      </c>
      <c r="E1412" s="6" t="str"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45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44"/>
        <v>18</v>
      </c>
      <c r="E1413" s="6" t="str">
        <v>Proficient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45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44"/>
        <v>17</v>
      </c>
      <c r="E1414" s="6" t="str">
        <v>Proficient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45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44"/>
        <v>6</v>
      </c>
      <c r="E1415" s="6" t="str"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45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44"/>
        <v>18</v>
      </c>
      <c r="E1416" s="6" t="str">
        <v>Proficient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45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44"/>
        <v>20</v>
      </c>
      <c r="E1417" s="6" t="str">
        <v>Proficient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45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44"/>
        <v>19</v>
      </c>
      <c r="E1418" s="6" t="str">
        <v>Proficient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45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44"/>
        <v>24</v>
      </c>
      <c r="E1419" s="6" t="str">
        <v>Proficient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45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44"/>
        <v>13</v>
      </c>
      <c r="E1420" s="6" t="str">
        <v>Proficient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45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44"/>
        <v>22</v>
      </c>
      <c r="E1421" s="6" t="str">
        <v>Proficient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45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44"/>
        <v>29</v>
      </c>
      <c r="E1422" s="6" t="str">
        <v>Proficient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45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44"/>
        <v>5</v>
      </c>
      <c r="E1423" s="6" t="str"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45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44"/>
        <v>13</v>
      </c>
      <c r="E1424" s="6" t="str">
        <v>Proficient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45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44"/>
        <v>25</v>
      </c>
      <c r="E1425" s="6" t="str">
        <v>Proficient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45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44"/>
        <v>19</v>
      </c>
      <c r="E1426" s="6" t="str">
        <v>Proficient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45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44"/>
        <v>16</v>
      </c>
      <c r="E1427" s="6" t="str">
        <v>Proficient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45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44"/>
        <v>15</v>
      </c>
      <c r="E1428" s="6" t="str">
        <v>Proficient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45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44"/>
        <v>11</v>
      </c>
      <c r="E1429" s="6" t="str">
        <v>Proficient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45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44"/>
        <v>17</v>
      </c>
      <c r="E1430" s="6" t="str">
        <v>Proficient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45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44"/>
        <v>8</v>
      </c>
      <c r="E1431" s="6" t="str"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45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44"/>
        <v>11</v>
      </c>
      <c r="E1432" s="6" t="str">
        <v>Proficient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45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44"/>
        <v>14</v>
      </c>
      <c r="E1433" s="6" t="str">
        <v>Proficient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45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44"/>
        <v>26</v>
      </c>
      <c r="E1434" s="6" t="str">
        <v>Proficient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45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44"/>
        <v>9</v>
      </c>
      <c r="E1435" s="6" t="str"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45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44"/>
        <v>12</v>
      </c>
      <c r="E1436" s="6" t="str">
        <v>Proficient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45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44"/>
        <v>17</v>
      </c>
      <c r="E1437" s="6" t="str">
        <v>Proficient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45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44"/>
        <v>9</v>
      </c>
      <c r="E1438" s="6" t="str"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45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44"/>
        <v>25</v>
      </c>
      <c r="E1439" s="6" t="str">
        <v>Proficient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45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44"/>
        <v>29</v>
      </c>
      <c r="E1440" s="6" t="str">
        <v>Proficient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45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44"/>
        <v>23</v>
      </c>
      <c r="E1441" s="6" t="str">
        <v>Proficient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45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44"/>
        <v>10</v>
      </c>
      <c r="E1442" s="6" t="str"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45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44"/>
        <v>28</v>
      </c>
      <c r="E1443" s="6" t="str">
        <v>Proficient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45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44"/>
        <v>28</v>
      </c>
      <c r="E1444" s="6" t="str">
        <v>Proficient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45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44"/>
        <v>26</v>
      </c>
      <c r="E1445" s="6" t="str">
        <v>Proficient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45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44"/>
        <v>25</v>
      </c>
      <c r="E1446" s="6" t="str">
        <v>Proficient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45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44"/>
        <v>12</v>
      </c>
      <c r="E1447" s="6" t="str">
        <v>Proficient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45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44"/>
        <v>24</v>
      </c>
      <c r="E1448" s="6" t="str">
        <v>Proficient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45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44"/>
        <v>21</v>
      </c>
      <c r="E1449" s="6" t="str">
        <v>Proficient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45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44"/>
        <v>13</v>
      </c>
      <c r="E1450" s="6" t="str">
        <v>Proficient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45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44"/>
        <v>17</v>
      </c>
      <c r="E1451" s="6" t="str">
        <v>Proficient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45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44"/>
        <v>11</v>
      </c>
      <c r="E1452" s="6" t="str">
        <v>Proficient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45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44"/>
        <v>14</v>
      </c>
      <c r="E1453" s="6" t="str">
        <v>Proficient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45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44"/>
        <v>21</v>
      </c>
      <c r="E1454" s="6" t="str">
        <v>Proficient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45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44"/>
        <v>14</v>
      </c>
      <c r="E1455" s="6" t="str">
        <v>Proficient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45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44"/>
        <v>21</v>
      </c>
      <c r="E1456" s="6" t="str">
        <v>Proficient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45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44"/>
        <v>26</v>
      </c>
      <c r="E1457" s="6" t="str">
        <v>Proficient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45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44"/>
        <v>7</v>
      </c>
      <c r="E1458" s="6" t="str"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45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44"/>
        <v>29</v>
      </c>
      <c r="E1459" s="6" t="str">
        <v>Proficient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45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44"/>
        <v>6</v>
      </c>
      <c r="E1460" s="6" t="str"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45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44"/>
        <v>6</v>
      </c>
      <c r="E1461" s="6" t="str"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45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44"/>
        <v>30</v>
      </c>
      <c r="E1462" s="6" t="str">
        <v>Proficient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45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44"/>
        <v>30</v>
      </c>
      <c r="E1463" s="6" t="str">
        <v>Proficient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45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44"/>
        <v>30</v>
      </c>
      <c r="E1464" s="6" t="str">
        <v>Proficient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45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44"/>
        <v>6</v>
      </c>
      <c r="E1465" s="6" t="str"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45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44"/>
        <v>24</v>
      </c>
      <c r="E1466" s="6" t="str">
        <v>Proficient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45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44"/>
        <v>14</v>
      </c>
      <c r="E1467" s="6" t="str">
        <v>Proficient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45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44"/>
        <v>26</v>
      </c>
      <c r="E1468" s="6" t="str">
        <v>Proficient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45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44"/>
        <v>26</v>
      </c>
      <c r="E1469" s="6" t="str">
        <v>Proficient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45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44"/>
        <v>27</v>
      </c>
      <c r="E1470" s="6" t="str">
        <v>Proficient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45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44"/>
        <v>23</v>
      </c>
      <c r="E1471" s="6" t="str">
        <v>Proficient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45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44"/>
        <v>17</v>
      </c>
      <c r="E1472" s="6" t="str">
        <v>Proficient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45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44"/>
        <v>6</v>
      </c>
      <c r="E1473" s="6" t="str"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45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44"/>
        <v>26</v>
      </c>
      <c r="E1474" s="6" t="str">
        <v>Proficient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45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46">YEAR(C1475)-YEAR(B1475)</f>
        <v>8</v>
      </c>
      <c r="E1475" s="6" t="str"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47">IF(OR(L1475="Retirement",L1475="Resignation"),"Voluntary","Involuntary")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46"/>
        <v>13</v>
      </c>
      <c r="E1476" s="6" t="str">
        <v>Proficient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47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46"/>
        <v>18</v>
      </c>
      <c r="E1477" s="6" t="str">
        <v>Proficient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47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46"/>
        <v>30</v>
      </c>
      <c r="E1478" s="6" t="str">
        <v>Proficient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47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46"/>
        <v>30</v>
      </c>
      <c r="E1479" s="6" t="str">
        <v>Proficient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47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46"/>
        <v>19</v>
      </c>
      <c r="E1480" s="6" t="str">
        <v>Proficient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47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46"/>
        <v>7</v>
      </c>
      <c r="E1481" s="6" t="str"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47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46"/>
        <v>20</v>
      </c>
      <c r="E1482" s="6" t="str">
        <v>Proficient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47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46"/>
        <v>26</v>
      </c>
      <c r="E1483" s="6" t="str">
        <v>Proficient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47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46"/>
        <v>25</v>
      </c>
      <c r="E1484" s="6" t="str">
        <v>Proficient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47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46"/>
        <v>25</v>
      </c>
      <c r="E1485" s="6" t="str">
        <v>Proficient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47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46"/>
        <v>19</v>
      </c>
      <c r="E1486" s="6" t="str">
        <v>Proficient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47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F7" sqref="F7:K7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2" spans="1:3" x14ac:dyDescent="0.3">
      <c r="C2" t="s">
        <v>169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SUM(L2,L1485)</f>
        <v>0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124</v>
      </c>
      <c r="C7" s="24"/>
    </row>
    <row r="9" spans="1:3" ht="15" thickBot="1" x14ac:dyDescent="0.35">
      <c r="A9" s="23" t="s">
        <v>125</v>
      </c>
    </row>
    <row r="10" spans="1:3" x14ac:dyDescent="0.3">
      <c r="B10" s="15" t="s">
        <v>126</v>
      </c>
      <c r="C10" s="16" t="s">
        <v>127</v>
      </c>
    </row>
    <row r="11" spans="1:3" x14ac:dyDescent="0.3">
      <c r="B11" s="18">
        <v>0.04</v>
      </c>
      <c r="C11" s="13"/>
    </row>
    <row r="12" spans="1:3" x14ac:dyDescent="0.3">
      <c r="B12" s="18">
        <v>4.4999999999999998E-2</v>
      </c>
      <c r="C12" s="13"/>
    </row>
    <row r="13" spans="1:3" x14ac:dyDescent="0.3">
      <c r="B13" s="18">
        <v>0.05</v>
      </c>
      <c r="C13" s="13"/>
    </row>
    <row r="14" spans="1:3" x14ac:dyDescent="0.3">
      <c r="B14" s="18">
        <v>5.5E-2</v>
      </c>
      <c r="C14" s="13"/>
    </row>
    <row r="15" spans="1:3" x14ac:dyDescent="0.3">
      <c r="B15" s="18">
        <v>0.06</v>
      </c>
      <c r="C15" s="13"/>
    </row>
    <row r="16" spans="1:3" x14ac:dyDescent="0.3">
      <c r="B16" s="18">
        <v>6.5000000000000002E-2</v>
      </c>
      <c r="C16" s="13"/>
    </row>
    <row r="17" spans="1:3" x14ac:dyDescent="0.3">
      <c r="B17" s="18">
        <v>7.0000000000000007E-2</v>
      </c>
      <c r="C17" s="13"/>
    </row>
    <row r="18" spans="1:3" x14ac:dyDescent="0.3">
      <c r="B18" s="18">
        <v>7.4999999999999997E-2</v>
      </c>
      <c r="C18" s="13"/>
    </row>
    <row r="19" spans="1:3" x14ac:dyDescent="0.3">
      <c r="B19" s="18">
        <v>0.08</v>
      </c>
      <c r="C19" s="13"/>
    </row>
    <row r="20" spans="1:3" x14ac:dyDescent="0.3">
      <c r="B20" s="18">
        <v>8.5000000000000006E-2</v>
      </c>
      <c r="C20" s="13"/>
    </row>
    <row r="21" spans="1:3" x14ac:dyDescent="0.3">
      <c r="B21" s="18">
        <v>0.09</v>
      </c>
      <c r="C21" s="13"/>
    </row>
    <row r="22" spans="1:3" x14ac:dyDescent="0.3">
      <c r="B22" s="18">
        <v>9.5000000000000001E-2</v>
      </c>
      <c r="C22" s="13"/>
    </row>
    <row r="23" spans="1:3" ht="15" thickBot="1" x14ac:dyDescent="0.35">
      <c r="B23" s="17">
        <v>0.1</v>
      </c>
      <c r="C23" s="14"/>
    </row>
    <row r="25" spans="1:3" x14ac:dyDescent="0.3">
      <c r="A25" s="23" t="s">
        <v>128</v>
      </c>
    </row>
    <row r="26" spans="1:3" ht="15" thickBot="1" x14ac:dyDescent="0.35">
      <c r="B26" t="s">
        <v>129</v>
      </c>
    </row>
    <row r="27" spans="1:3" x14ac:dyDescent="0.3">
      <c r="B27" s="15" t="s">
        <v>126</v>
      </c>
      <c r="C27" s="16" t="s">
        <v>127</v>
      </c>
    </row>
    <row r="28" spans="1:3" ht="15" thickBot="1" x14ac:dyDescent="0.35">
      <c r="B28" s="17"/>
      <c r="C28" s="14"/>
    </row>
    <row r="30" spans="1:3" x14ac:dyDescent="0.3">
      <c r="A30" s="23" t="s">
        <v>130</v>
      </c>
    </row>
    <row r="31" spans="1:3" ht="15" thickBot="1" x14ac:dyDescent="0.35">
      <c r="B31" s="10" t="s">
        <v>122</v>
      </c>
    </row>
    <row r="32" spans="1:3" x14ac:dyDescent="0.3">
      <c r="B32" s="15" t="s">
        <v>131</v>
      </c>
      <c r="C32" s="16" t="s">
        <v>132</v>
      </c>
    </row>
    <row r="33" spans="1:3" x14ac:dyDescent="0.3">
      <c r="B33" s="19"/>
      <c r="C33" s="13"/>
    </row>
    <row r="34" spans="1:3" x14ac:dyDescent="0.3">
      <c r="B34" s="19"/>
      <c r="C34" s="13"/>
    </row>
    <row r="35" spans="1:3" ht="15" thickBot="1" x14ac:dyDescent="0.35">
      <c r="B35" s="20"/>
      <c r="C35" s="13"/>
    </row>
    <row r="37" spans="1:3" ht="15" thickBot="1" x14ac:dyDescent="0.35">
      <c r="B37" s="21" t="s">
        <v>133</v>
      </c>
    </row>
    <row r="38" spans="1:3" x14ac:dyDescent="0.3">
      <c r="B38" s="15" t="s">
        <v>131</v>
      </c>
      <c r="C38" s="16" t="s">
        <v>132</v>
      </c>
    </row>
    <row r="39" spans="1:3" ht="15" thickBot="1" x14ac:dyDescent="0.35">
      <c r="B39" s="20"/>
      <c r="C39" s="14"/>
    </row>
    <row r="41" spans="1:3" x14ac:dyDescent="0.3">
      <c r="A41" s="23" t="s">
        <v>134</v>
      </c>
      <c r="B41" t="s">
        <v>135</v>
      </c>
    </row>
    <row r="43" spans="1:3" x14ac:dyDescent="0.3">
      <c r="B43" t="s">
        <v>136</v>
      </c>
    </row>
    <row r="44" spans="1:3" x14ac:dyDescent="0.3">
      <c r="B44" t="s">
        <v>137</v>
      </c>
      <c r="C44" s="22"/>
    </row>
    <row r="45" spans="1:3" x14ac:dyDescent="0.3">
      <c r="B45" t="s">
        <v>138</v>
      </c>
      <c r="C45" s="8"/>
    </row>
    <row r="46" spans="1:3" x14ac:dyDescent="0.3">
      <c r="B46" s="10" t="s">
        <v>139</v>
      </c>
      <c r="C46" s="25"/>
    </row>
    <row r="48" spans="1:3" x14ac:dyDescent="0.3">
      <c r="A48" s="2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opLeftCell="A11" workbookViewId="0">
      <selection activeCell="B23" sqref="B23:N29"/>
    </sheetView>
  </sheetViews>
  <sheetFormatPr defaultRowHeight="14.4" x14ac:dyDescent="0.3"/>
  <sheetData>
    <row r="1" spans="1:4" ht="17.399999999999999" x14ac:dyDescent="0.3">
      <c r="A1" s="26" t="s">
        <v>141</v>
      </c>
    </row>
    <row r="2" spans="1:4" x14ac:dyDescent="0.3">
      <c r="A2" s="27" t="s">
        <v>142</v>
      </c>
    </row>
    <row r="3" spans="1:4" x14ac:dyDescent="0.3">
      <c r="A3" s="27"/>
    </row>
    <row r="4" spans="1:4" ht="17.399999999999999" x14ac:dyDescent="0.3">
      <c r="A4" s="29" t="s">
        <v>143</v>
      </c>
    </row>
    <row r="5" spans="1:4" x14ac:dyDescent="0.3">
      <c r="A5" s="30" t="s">
        <v>144</v>
      </c>
      <c r="D5" s="30" t="s">
        <v>145</v>
      </c>
    </row>
    <row r="6" spans="1:4" x14ac:dyDescent="0.3">
      <c r="A6" s="31" t="s">
        <v>146</v>
      </c>
    </row>
    <row r="7" spans="1:4" x14ac:dyDescent="0.3">
      <c r="A7" s="32" t="s">
        <v>147</v>
      </c>
    </row>
    <row r="8" spans="1:4" x14ac:dyDescent="0.3">
      <c r="A8" s="31" t="s">
        <v>148</v>
      </c>
    </row>
    <row r="9" spans="1:4" x14ac:dyDescent="0.3">
      <c r="A9" s="33"/>
    </row>
    <row r="10" spans="1:4" x14ac:dyDescent="0.3">
      <c r="A10" s="30" t="s">
        <v>149</v>
      </c>
    </row>
    <row r="11" spans="1:4" x14ac:dyDescent="0.3">
      <c r="A11" s="27" t="s">
        <v>150</v>
      </c>
    </row>
    <row r="12" spans="1:4" x14ac:dyDescent="0.3">
      <c r="A12" s="31" t="s">
        <v>151</v>
      </c>
    </row>
    <row r="13" spans="1:4" x14ac:dyDescent="0.3">
      <c r="A13" s="31" t="s">
        <v>152</v>
      </c>
    </row>
    <row r="14" spans="1:4" x14ac:dyDescent="0.3">
      <c r="A14" s="28" t="s">
        <v>153</v>
      </c>
    </row>
    <row r="15" spans="1:4" x14ac:dyDescent="0.3">
      <c r="A15" s="31" t="s">
        <v>154</v>
      </c>
    </row>
    <row r="16" spans="1:4" x14ac:dyDescent="0.3">
      <c r="A16" s="34" t="s">
        <v>155</v>
      </c>
    </row>
    <row r="17" spans="1:5" x14ac:dyDescent="0.3">
      <c r="A17" s="35" t="s">
        <v>156</v>
      </c>
      <c r="E17" s="35" t="s">
        <v>157</v>
      </c>
    </row>
    <row r="18" spans="1:5" x14ac:dyDescent="0.3">
      <c r="A18" s="31" t="s">
        <v>158</v>
      </c>
    </row>
    <row r="19" spans="1:5" x14ac:dyDescent="0.3">
      <c r="A19" s="36" t="s">
        <v>159</v>
      </c>
    </row>
    <row r="20" spans="1:5" x14ac:dyDescent="0.3">
      <c r="A20" s="36" t="s">
        <v>160</v>
      </c>
    </row>
    <row r="21" spans="1:5" x14ac:dyDescent="0.3">
      <c r="A21" s="37" t="s">
        <v>161</v>
      </c>
    </row>
    <row r="22" spans="1:5" x14ac:dyDescent="0.3">
      <c r="A22" s="35"/>
    </row>
    <row r="23" spans="1:5" x14ac:dyDescent="0.3">
      <c r="B23" s="31" t="s">
        <v>162</v>
      </c>
    </row>
    <row r="24" spans="1:5" x14ac:dyDescent="0.3">
      <c r="A24" s="38" t="s">
        <v>163</v>
      </c>
    </row>
    <row r="25" spans="1:5" x14ac:dyDescent="0.3">
      <c r="A25" s="38" t="s">
        <v>164</v>
      </c>
    </row>
    <row r="26" spans="1:5" x14ac:dyDescent="0.3">
      <c r="A26" s="38" t="s">
        <v>165</v>
      </c>
    </row>
    <row r="27" spans="1:5" x14ac:dyDescent="0.3">
      <c r="A27" s="39" t="s">
        <v>166</v>
      </c>
    </row>
    <row r="28" spans="1:5" x14ac:dyDescent="0.3">
      <c r="A28" s="30"/>
    </row>
    <row r="29" spans="1:5" x14ac:dyDescent="0.3">
      <c r="A29" s="30"/>
    </row>
    <row r="30" spans="1:5" x14ac:dyDescent="0.3">
      <c r="A30" s="27"/>
    </row>
    <row r="31" spans="1:5" x14ac:dyDescent="0.3">
      <c r="A31" s="27"/>
    </row>
    <row r="32" spans="1:5" x14ac:dyDescent="0.3">
      <c r="A32" s="40" t="s">
        <v>167</v>
      </c>
    </row>
    <row r="33" spans="1:1" x14ac:dyDescent="0.3">
      <c r="A3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Ruchika Malviya</cp:lastModifiedBy>
  <dcterms:created xsi:type="dcterms:W3CDTF">2022-04-06T06:28:55Z</dcterms:created>
  <dcterms:modified xsi:type="dcterms:W3CDTF">2026-06-04T11:53:56Z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